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fy\Desktop\"/>
    </mc:Choice>
  </mc:AlternateContent>
  <xr:revisionPtr revIDLastSave="0" documentId="8_{68870A82-EE67-4F56-84A2-7AB873D43FCE}" xr6:coauthVersionLast="47" xr6:coauthVersionMax="47" xr10:uidLastSave="{00000000-0000-0000-0000-000000000000}"/>
  <bookViews>
    <workbookView xWindow="-108" yWindow="-108" windowWidth="23256" windowHeight="12456" xr2:uid="{905CDE0C-1EC7-4371-92D6-FCADC16A8119}"/>
  </bookViews>
  <sheets>
    <sheet name="Formulas tr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2" i="2"/>
  <c r="M3" i="2"/>
  <c r="M4" i="2"/>
  <c r="M5" i="2"/>
  <c r="M6" i="2"/>
  <c r="M7" i="2"/>
  <c r="M8" i="2"/>
  <c r="M9" i="2"/>
  <c r="M10" i="2"/>
  <c r="M2" i="2"/>
  <c r="L7" i="2"/>
  <c r="L8" i="2"/>
  <c r="L9" i="2"/>
  <c r="L10" i="2"/>
  <c r="H9" i="2"/>
  <c r="J9" i="2" s="1"/>
  <c r="G9" i="2"/>
  <c r="F7" i="2"/>
  <c r="F8" i="2"/>
  <c r="F9" i="2"/>
  <c r="F10" i="2"/>
  <c r="D7" i="2"/>
  <c r="D8" i="2"/>
  <c r="D9" i="2"/>
  <c r="C7" i="2"/>
  <c r="G7" i="2" s="1"/>
  <c r="H7" i="2" s="1"/>
  <c r="C8" i="2"/>
  <c r="G8" i="2" s="1"/>
  <c r="H8" i="2" s="1"/>
  <c r="C9" i="2"/>
  <c r="C10" i="2"/>
  <c r="D10" i="2" s="1"/>
  <c r="C6" i="2"/>
  <c r="L6" i="2" s="1"/>
  <c r="C4" i="2"/>
  <c r="G4" i="2" s="1"/>
  <c r="C5" i="2"/>
  <c r="G5" i="2" s="1"/>
  <c r="C2" i="2"/>
  <c r="D2" i="2" s="1"/>
  <c r="C3" i="2"/>
  <c r="G3" i="2" s="1"/>
  <c r="N8" i="2" l="1"/>
  <c r="J8" i="2"/>
  <c r="I8" i="2"/>
  <c r="K8" i="2"/>
  <c r="I7" i="2"/>
  <c r="K7" i="2"/>
  <c r="N7" i="2"/>
  <c r="J7" i="2"/>
  <c r="N9" i="2"/>
  <c r="K9" i="2"/>
  <c r="I9" i="2"/>
  <c r="G10" i="2"/>
  <c r="H10" i="2" s="1"/>
  <c r="D6" i="2"/>
  <c r="F6" i="2"/>
  <c r="G6" i="2"/>
  <c r="L5" i="2"/>
  <c r="D5" i="2"/>
  <c r="D4" i="2"/>
  <c r="F5" i="2"/>
  <c r="H5" i="2" s="1"/>
  <c r="F4" i="2"/>
  <c r="H4" i="2" s="1"/>
  <c r="L4" i="2"/>
  <c r="L2" i="2"/>
  <c r="L3" i="2"/>
  <c r="F2" i="2"/>
  <c r="D3" i="2"/>
  <c r="F3" i="2"/>
  <c r="H3" i="2" s="1"/>
  <c r="G2" i="2"/>
  <c r="K10" i="2" l="1"/>
  <c r="N10" i="2"/>
  <c r="J10" i="2"/>
  <c r="I10" i="2"/>
  <c r="H6" i="2"/>
  <c r="H2" i="2"/>
  <c r="N4" i="2"/>
  <c r="K4" i="2"/>
  <c r="J4" i="2"/>
  <c r="I4" i="2"/>
  <c r="I5" i="2"/>
  <c r="J5" i="2"/>
  <c r="N5" i="2"/>
  <c r="K5" i="2"/>
  <c r="K3" i="2"/>
  <c r="N3" i="2"/>
  <c r="J3" i="2"/>
  <c r="I3" i="2"/>
  <c r="J2" i="2" l="1"/>
  <c r="N6" i="2"/>
  <c r="K6" i="2"/>
  <c r="J6" i="2"/>
  <c r="I6" i="2"/>
  <c r="N2" i="2"/>
  <c r="K2" i="2"/>
  <c r="I2" i="2"/>
</calcChain>
</file>

<file path=xl/sharedStrings.xml><?xml version="1.0" encoding="utf-8"?>
<sst xmlns="http://schemas.openxmlformats.org/spreadsheetml/2006/main" count="24" uniqueCount="23">
  <si>
    <t>Employee name</t>
  </si>
  <si>
    <t>PT</t>
  </si>
  <si>
    <t>CTC</t>
  </si>
  <si>
    <t>basic</t>
  </si>
  <si>
    <t>hra</t>
  </si>
  <si>
    <t>conv</t>
  </si>
  <si>
    <t>employer pf</t>
  </si>
  <si>
    <t>PF ADMIN</t>
  </si>
  <si>
    <t>SP ALLOWANCE</t>
  </si>
  <si>
    <t>GROSS</t>
  </si>
  <si>
    <t>ESIC EMPLOYER</t>
  </si>
  <si>
    <t>ESIC EMPLOYEE</t>
  </si>
  <si>
    <t>Uttam Shah</t>
  </si>
  <si>
    <t>monthly ctc</t>
  </si>
  <si>
    <t>Kushal Kapadia</t>
  </si>
  <si>
    <t>Girish soni</t>
  </si>
  <si>
    <t>keval shah</t>
  </si>
  <si>
    <t>Ashish Suthar</t>
  </si>
  <si>
    <t>Heena shah</t>
  </si>
  <si>
    <t>Siddharth Malhotra</t>
  </si>
  <si>
    <t>Namrata patel</t>
  </si>
  <si>
    <t>Net salary</t>
  </si>
  <si>
    <t>Mohit gosalia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</si>
</sst>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2">
    <xf numFmtId="0" fontId="0" fillId="0" borderId="0" xfId="0"/>
    <xf numFmtId="164" fontId="2" fillId="3" borderId="1" xfId="1" applyNumberFormat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/>
    </xf>
    <xf numFmtId="1" fontId="5" fillId="2" borderId="1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 vertical="center" wrapText="1"/>
    </xf>
    <xf numFmtId="164" fontId="3" fillId="3" borderId="1" xfId="1" applyNumberFormat="1" applyFont="1" applyFill="1" applyBorder="1" applyAlignment="1">
      <alignment horizontal="left" vertical="top" wrapText="1"/>
    </xf>
    <xf numFmtId="0" fontId="4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/>
    </xf>
    <xf numFmtId="1" fontId="4" fillId="3" borderId="1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4D541058-D917-45A9-8206-3209270D5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F7E6-D6D6-4C0F-B57C-6452226CAFCF}">
  <dimension ref="A1:O10"/>
  <sheetViews>
    <sheetView tabSelected="1" workbookViewId="0">
      <selection activeCell="O10" sqref="A1:O10"/>
    </sheetView>
  </sheetViews>
  <sheetFormatPr defaultColWidth="18.109375" defaultRowHeight="15" x14ac:dyDescent="0.25"/>
  <cols>
    <col min="1" max="1" width="18.109375" style="4" bestFit="1" customWidth="1"/>
    <col min="2" max="2" width="11" style="9" bestFit="1" customWidth="1"/>
    <col min="3" max="3" width="8.77734375" style="4" bestFit="1" customWidth="1"/>
    <col min="4" max="4" width="6.5546875" style="4" bestFit="1" customWidth="1"/>
    <col min="5" max="5" width="5.44140625" style="4" bestFit="1" customWidth="1"/>
    <col min="6" max="6" width="11.33203125" style="4" bestFit="1" customWidth="1"/>
    <col min="7" max="7" width="10.33203125" style="4" bestFit="1" customWidth="1"/>
    <col min="8" max="8" width="8.21875" style="9" bestFit="1" customWidth="1"/>
    <col min="9" max="9" width="17.44140625" style="4" bestFit="1" customWidth="1"/>
    <col min="10" max="10" width="16.6640625" style="4" bestFit="1" customWidth="1"/>
    <col min="11" max="11" width="17.33203125" style="4" bestFit="1" customWidth="1"/>
    <col min="12" max="12" width="11.33203125" style="4" bestFit="1" customWidth="1"/>
    <col min="13" max="13" width="11.33203125" style="4" customWidth="1"/>
    <col min="14" max="14" width="7.6640625" style="4" bestFit="1" customWidth="1"/>
    <col min="15" max="15" width="18.109375" style="9"/>
    <col min="16" max="16384" width="18.109375" style="4"/>
  </cols>
  <sheetData>
    <row r="1" spans="1:15" x14ac:dyDescent="0.25">
      <c r="A1" s="2" t="s">
        <v>0</v>
      </c>
      <c r="B1" s="6" t="s">
        <v>13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6" t="s">
        <v>9</v>
      </c>
      <c r="I1" s="2" t="s">
        <v>10</v>
      </c>
      <c r="J1" s="2" t="s">
        <v>8</v>
      </c>
      <c r="K1" s="2" t="s">
        <v>11</v>
      </c>
      <c r="L1" s="2" t="s">
        <v>6</v>
      </c>
      <c r="M1" s="2" t="s">
        <v>1</v>
      </c>
      <c r="N1" s="2" t="s">
        <v>2</v>
      </c>
      <c r="O1" s="10" t="s">
        <v>21</v>
      </c>
    </row>
    <row r="2" spans="1:15" x14ac:dyDescent="0.25">
      <c r="A2" s="2" t="s">
        <v>12</v>
      </c>
      <c r="B2" s="6">
        <v>54167</v>
      </c>
      <c r="C2" s="3">
        <f>B2*60%</f>
        <v>32500.199999999997</v>
      </c>
      <c r="D2" s="3">
        <f>C2*40%</f>
        <v>13000.08</v>
      </c>
      <c r="E2" s="2">
        <v>1600</v>
      </c>
      <c r="F2" s="2">
        <f>IF(C2&gt;15000,1800,C2*12%)</f>
        <v>1800</v>
      </c>
      <c r="G2" s="2">
        <f>IF(C2&gt;15000,150,C2*1%)</f>
        <v>150</v>
      </c>
      <c r="H2" s="6">
        <f>IF((B2-(F2+G2))/1.0325&lt;=21000,(B2-(F2+G2))/1.0325,B2-(F2+G2))</f>
        <v>52217</v>
      </c>
      <c r="I2" s="2">
        <f>IF(H2&lt;=21000,ROUND(H2*3.25%,2),0)</f>
        <v>0</v>
      </c>
      <c r="J2" s="3">
        <f>H2-(C2+D2+E2)</f>
        <v>5116.7200000000012</v>
      </c>
      <c r="K2" s="3">
        <f>IF(H2&lt;=21000,ROUND(H2*0.75%,2),0)</f>
        <v>0</v>
      </c>
      <c r="L2" s="2">
        <f>IF(C2&gt;15000,1800,C2*12%)</f>
        <v>1800</v>
      </c>
      <c r="M2" s="2">
        <f>IF(H2&gt;15000,200,0)</f>
        <v>200</v>
      </c>
      <c r="N2" s="2">
        <f>H2+L2+G2</f>
        <v>54167</v>
      </c>
      <c r="O2" s="11">
        <f>H2-K2-L2-M2</f>
        <v>50217</v>
      </c>
    </row>
    <row r="3" spans="1:15" x14ac:dyDescent="0.25">
      <c r="A3" s="2" t="s">
        <v>22</v>
      </c>
      <c r="B3" s="6">
        <v>25000</v>
      </c>
      <c r="C3" s="2">
        <f>B3*60%</f>
        <v>15000</v>
      </c>
      <c r="D3" s="3">
        <f>C3*40%</f>
        <v>6000</v>
      </c>
      <c r="E3" s="2">
        <v>1600</v>
      </c>
      <c r="F3" s="2">
        <f>IF(C3&gt;15000,1800,C3*12%)</f>
        <v>1800</v>
      </c>
      <c r="G3" s="2">
        <f>IF(C3&gt;15000,150,C3*1%)</f>
        <v>150</v>
      </c>
      <c r="H3" s="6">
        <f>IF((B3-(F3+G3))/1.0325&lt;=21000,(B3-(F3+G3))/1.0325,B3-(F3+G3))</f>
        <v>23050</v>
      </c>
      <c r="I3" s="2">
        <f>IF(H3&lt;=21000,ROUND(H3*3.25%,2),0)</f>
        <v>0</v>
      </c>
      <c r="J3" s="3">
        <f>H3-(C3+D3+E3)</f>
        <v>450</v>
      </c>
      <c r="K3" s="3">
        <f t="shared" ref="K3:K10" si="0">IF(H3&lt;=21000,ROUND(H3*0.75%,2),0)</f>
        <v>0</v>
      </c>
      <c r="L3" s="2">
        <f t="shared" ref="L3:L10" si="1">IF(C3&gt;15000,1800,C3*12%)</f>
        <v>1800</v>
      </c>
      <c r="M3" s="2">
        <f t="shared" ref="M3:M10" si="2">IF(H3&gt;15000,200,0)</f>
        <v>200</v>
      </c>
      <c r="N3" s="2">
        <f>H3+L3+G3</f>
        <v>25000</v>
      </c>
      <c r="O3" s="11">
        <f t="shared" ref="O3:O10" si="3">H3-K3-L3-M3</f>
        <v>21050</v>
      </c>
    </row>
    <row r="4" spans="1:15" x14ac:dyDescent="0.25">
      <c r="A4" s="2" t="s">
        <v>14</v>
      </c>
      <c r="B4" s="1">
        <v>100000</v>
      </c>
      <c r="C4" s="2">
        <f t="shared" ref="C4:C10" si="4">B4*60%</f>
        <v>60000</v>
      </c>
      <c r="D4" s="3">
        <f t="shared" ref="D4:D10" si="5">C4*40%</f>
        <v>24000</v>
      </c>
      <c r="E4" s="2">
        <v>1600</v>
      </c>
      <c r="F4" s="2">
        <f t="shared" ref="F4:F10" si="6">IF(C4&gt;15000,1800,C4*12%)</f>
        <v>1800</v>
      </c>
      <c r="G4" s="2">
        <f t="shared" ref="G4:G10" si="7">IF(C4&gt;15000,150,C4*1%)</f>
        <v>150</v>
      </c>
      <c r="H4" s="6">
        <f t="shared" ref="H4:H10" si="8">IF((B4-(F4+G4))/1.0325&lt;=21000,(B4-(F4+G4))/1.0325,B4-(F4+G4))</f>
        <v>98050</v>
      </c>
      <c r="I4" s="2">
        <f t="shared" ref="I4:I10" si="9">IF(H4&lt;=21000,ROUND(H4*3.25%,2),0)</f>
        <v>0</v>
      </c>
      <c r="J4" s="3">
        <f t="shared" ref="J4:J10" si="10">H4-(C4+D4+E4)</f>
        <v>12450</v>
      </c>
      <c r="K4" s="3">
        <f t="shared" si="0"/>
        <v>0</v>
      </c>
      <c r="L4" s="2">
        <f t="shared" si="1"/>
        <v>1800</v>
      </c>
      <c r="M4" s="2">
        <f t="shared" si="2"/>
        <v>200</v>
      </c>
      <c r="N4" s="2">
        <f>H4+L4+G4</f>
        <v>100000</v>
      </c>
      <c r="O4" s="11">
        <f t="shared" si="3"/>
        <v>96050</v>
      </c>
    </row>
    <row r="5" spans="1:15" x14ac:dyDescent="0.25">
      <c r="A5" s="2" t="s">
        <v>15</v>
      </c>
      <c r="B5" s="7">
        <v>35000</v>
      </c>
      <c r="C5" s="2">
        <f t="shared" si="4"/>
        <v>21000</v>
      </c>
      <c r="D5" s="3">
        <f t="shared" si="5"/>
        <v>8400</v>
      </c>
      <c r="E5" s="2">
        <v>1600</v>
      </c>
      <c r="F5" s="2">
        <f t="shared" si="6"/>
        <v>1800</v>
      </c>
      <c r="G5" s="2">
        <f t="shared" si="7"/>
        <v>150</v>
      </c>
      <c r="H5" s="6">
        <f t="shared" si="8"/>
        <v>33050</v>
      </c>
      <c r="I5" s="2">
        <f t="shared" si="9"/>
        <v>0</v>
      </c>
      <c r="J5" s="3">
        <f t="shared" si="10"/>
        <v>2050</v>
      </c>
      <c r="K5" s="3">
        <f t="shared" si="0"/>
        <v>0</v>
      </c>
      <c r="L5" s="2">
        <f t="shared" si="1"/>
        <v>1800</v>
      </c>
      <c r="M5" s="2">
        <f t="shared" si="2"/>
        <v>200</v>
      </c>
      <c r="N5" s="2">
        <f>H5+L5+G5</f>
        <v>35000</v>
      </c>
      <c r="O5" s="11">
        <f t="shared" si="3"/>
        <v>31050</v>
      </c>
    </row>
    <row r="6" spans="1:15" x14ac:dyDescent="0.25">
      <c r="A6" s="2" t="s">
        <v>16</v>
      </c>
      <c r="B6" s="7">
        <v>70833</v>
      </c>
      <c r="C6" s="2">
        <f t="shared" si="4"/>
        <v>42499.799999999996</v>
      </c>
      <c r="D6" s="3">
        <f t="shared" si="5"/>
        <v>16999.919999999998</v>
      </c>
      <c r="E6" s="2">
        <v>1600</v>
      </c>
      <c r="F6" s="2">
        <f t="shared" si="6"/>
        <v>1800</v>
      </c>
      <c r="G6" s="2">
        <f t="shared" si="7"/>
        <v>150</v>
      </c>
      <c r="H6" s="6">
        <f t="shared" si="8"/>
        <v>68883</v>
      </c>
      <c r="I6" s="2">
        <f t="shared" si="9"/>
        <v>0</v>
      </c>
      <c r="J6" s="3">
        <f t="shared" si="10"/>
        <v>7783.2800000000061</v>
      </c>
      <c r="K6" s="3">
        <f t="shared" si="0"/>
        <v>0</v>
      </c>
      <c r="L6" s="2">
        <f t="shared" si="1"/>
        <v>1800</v>
      </c>
      <c r="M6" s="2">
        <f t="shared" si="2"/>
        <v>200</v>
      </c>
      <c r="N6" s="2">
        <f>H6+L6+G6</f>
        <v>70833</v>
      </c>
      <c r="O6" s="11">
        <f t="shared" si="3"/>
        <v>66883</v>
      </c>
    </row>
    <row r="7" spans="1:15" x14ac:dyDescent="0.25">
      <c r="A7" s="5" t="s">
        <v>19</v>
      </c>
      <c r="B7" s="8">
        <v>51666</v>
      </c>
      <c r="C7" s="2">
        <f t="shared" si="4"/>
        <v>30999.599999999999</v>
      </c>
      <c r="D7" s="3">
        <f t="shared" si="5"/>
        <v>12399.84</v>
      </c>
      <c r="E7" s="2">
        <v>1600</v>
      </c>
      <c r="F7" s="2">
        <f t="shared" si="6"/>
        <v>1800</v>
      </c>
      <c r="G7" s="2">
        <f t="shared" si="7"/>
        <v>150</v>
      </c>
      <c r="H7" s="6">
        <f t="shared" si="8"/>
        <v>49716</v>
      </c>
      <c r="I7" s="2">
        <f t="shared" si="9"/>
        <v>0</v>
      </c>
      <c r="J7" s="3">
        <f t="shared" si="10"/>
        <v>4716.5599999999977</v>
      </c>
      <c r="K7" s="3">
        <f t="shared" si="0"/>
        <v>0</v>
      </c>
      <c r="L7" s="2">
        <f t="shared" si="1"/>
        <v>1800</v>
      </c>
      <c r="M7" s="2">
        <f t="shared" si="2"/>
        <v>200</v>
      </c>
      <c r="N7" s="2">
        <f>H7+L7+G7</f>
        <v>51666</v>
      </c>
      <c r="O7" s="11">
        <f t="shared" si="3"/>
        <v>47716</v>
      </c>
    </row>
    <row r="8" spans="1:15" x14ac:dyDescent="0.25">
      <c r="A8" s="5" t="s">
        <v>20</v>
      </c>
      <c r="B8" s="1">
        <v>46000</v>
      </c>
      <c r="C8" s="2">
        <f t="shared" si="4"/>
        <v>27600</v>
      </c>
      <c r="D8" s="3">
        <f t="shared" si="5"/>
        <v>11040</v>
      </c>
      <c r="E8" s="2">
        <v>1600</v>
      </c>
      <c r="F8" s="2">
        <f t="shared" si="6"/>
        <v>1800</v>
      </c>
      <c r="G8" s="2">
        <f t="shared" si="7"/>
        <v>150</v>
      </c>
      <c r="H8" s="6">
        <f t="shared" si="8"/>
        <v>44050</v>
      </c>
      <c r="I8" s="2">
        <f t="shared" si="9"/>
        <v>0</v>
      </c>
      <c r="J8" s="3">
        <f t="shared" si="10"/>
        <v>3810</v>
      </c>
      <c r="K8" s="3">
        <f t="shared" si="0"/>
        <v>0</v>
      </c>
      <c r="L8" s="2">
        <f t="shared" si="1"/>
        <v>1800</v>
      </c>
      <c r="M8" s="2">
        <f t="shared" si="2"/>
        <v>200</v>
      </c>
      <c r="N8" s="2">
        <f>H8+L8+G8</f>
        <v>46000</v>
      </c>
      <c r="O8" s="11">
        <f t="shared" si="3"/>
        <v>42050</v>
      </c>
    </row>
    <row r="9" spans="1:15" x14ac:dyDescent="0.25">
      <c r="A9" s="5" t="s">
        <v>18</v>
      </c>
      <c r="B9" s="1">
        <v>70833</v>
      </c>
      <c r="C9" s="2">
        <f t="shared" si="4"/>
        <v>42499.799999999996</v>
      </c>
      <c r="D9" s="3">
        <f t="shared" si="5"/>
        <v>16999.919999999998</v>
      </c>
      <c r="E9" s="2">
        <v>1600</v>
      </c>
      <c r="F9" s="2">
        <f t="shared" si="6"/>
        <v>1800</v>
      </c>
      <c r="G9" s="2">
        <f t="shared" si="7"/>
        <v>150</v>
      </c>
      <c r="H9" s="6">
        <f t="shared" si="8"/>
        <v>68883</v>
      </c>
      <c r="I9" s="2">
        <f t="shared" si="9"/>
        <v>0</v>
      </c>
      <c r="J9" s="3">
        <f t="shared" si="10"/>
        <v>7783.2800000000061</v>
      </c>
      <c r="K9" s="3">
        <f t="shared" si="0"/>
        <v>0</v>
      </c>
      <c r="L9" s="2">
        <f t="shared" si="1"/>
        <v>1800</v>
      </c>
      <c r="M9" s="2">
        <f t="shared" si="2"/>
        <v>200</v>
      </c>
      <c r="N9" s="2">
        <f>H9+L9+G9</f>
        <v>70833</v>
      </c>
      <c r="O9" s="11">
        <f t="shared" si="3"/>
        <v>66883</v>
      </c>
    </row>
    <row r="10" spans="1:15" x14ac:dyDescent="0.25">
      <c r="A10" s="2" t="s">
        <v>17</v>
      </c>
      <c r="B10" s="1">
        <v>75000</v>
      </c>
      <c r="C10" s="2">
        <f t="shared" si="4"/>
        <v>45000</v>
      </c>
      <c r="D10" s="3">
        <f t="shared" si="5"/>
        <v>18000</v>
      </c>
      <c r="E10" s="2">
        <v>1600</v>
      </c>
      <c r="F10" s="2">
        <f t="shared" si="6"/>
        <v>1800</v>
      </c>
      <c r="G10" s="2">
        <f t="shared" si="7"/>
        <v>150</v>
      </c>
      <c r="H10" s="6">
        <f t="shared" si="8"/>
        <v>73050</v>
      </c>
      <c r="I10" s="2">
        <f t="shared" si="9"/>
        <v>0</v>
      </c>
      <c r="J10" s="3">
        <f t="shared" si="10"/>
        <v>8450</v>
      </c>
      <c r="K10" s="3">
        <f t="shared" si="0"/>
        <v>0</v>
      </c>
      <c r="L10" s="2">
        <f t="shared" si="1"/>
        <v>1800</v>
      </c>
      <c r="M10" s="2">
        <f t="shared" si="2"/>
        <v>200</v>
      </c>
      <c r="N10" s="2">
        <f>H10+L10+G10</f>
        <v>75000</v>
      </c>
      <c r="O10" s="11">
        <f t="shared" si="3"/>
        <v>71050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 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Unify Xcess</dc:creator>
  <cp:lastModifiedBy>Chaxu Kapadia</cp:lastModifiedBy>
  <cp:lastPrinted>2025-09-08T02:21:22Z</cp:lastPrinted>
  <dcterms:created xsi:type="dcterms:W3CDTF">2025-08-21T05:54:50Z</dcterms:created>
  <dcterms:modified xsi:type="dcterms:W3CDTF">2025-09-16T10:04:00Z</dcterms:modified>
</cp:coreProperties>
</file>