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0D02D17-3EB7-4FA0-B328-1E9F74841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Assignment" sheetId="2" r:id="rId2"/>
  </sheets>
  <definedNames>
    <definedName name="_xlnm._FilterDatabase" localSheetId="0" hidden="1">Sheet1!$A$1:$L$601</definedName>
  </definedNames>
  <calcPr calcId="191029"/>
</workbook>
</file>

<file path=xl/calcChain.xml><?xml version="1.0" encoding="utf-8"?>
<calcChain xmlns="http://schemas.openxmlformats.org/spreadsheetml/2006/main">
  <c r="J524" i="1" l="1"/>
  <c r="J91" i="1"/>
  <c r="J511" i="1"/>
  <c r="J597" i="1"/>
  <c r="J109" i="1"/>
  <c r="J6" i="1"/>
  <c r="J94" i="1"/>
  <c r="J43" i="1"/>
  <c r="J502" i="1"/>
  <c r="J389" i="1"/>
  <c r="J70" i="1"/>
  <c r="J581" i="1"/>
  <c r="J206" i="1"/>
  <c r="J453" i="1"/>
  <c r="J167" i="1"/>
  <c r="J426" i="1"/>
  <c r="J513" i="1"/>
  <c r="J277" i="1"/>
  <c r="J435" i="1"/>
  <c r="J216" i="1"/>
  <c r="J583" i="1"/>
  <c r="J431" i="1"/>
  <c r="J288" i="1"/>
  <c r="J267" i="1"/>
  <c r="J68" i="1"/>
  <c r="J108" i="1"/>
  <c r="J126" i="1"/>
  <c r="J365" i="1"/>
  <c r="J403" i="1"/>
  <c r="J100" i="1"/>
  <c r="J452" i="1"/>
  <c r="J415" i="1"/>
  <c r="J305" i="1"/>
  <c r="J67" i="1"/>
  <c r="J486" i="1"/>
  <c r="J29" i="1"/>
  <c r="J489" i="1"/>
  <c r="J316" i="1"/>
  <c r="J114" i="1"/>
  <c r="J455" i="1"/>
  <c r="J272" i="1"/>
  <c r="J352" i="1"/>
  <c r="J136" i="1"/>
  <c r="J210" i="1"/>
  <c r="J293" i="1"/>
  <c r="J196" i="1"/>
  <c r="J535" i="1"/>
  <c r="J177" i="1"/>
  <c r="J349" i="1"/>
  <c r="J401" i="1"/>
  <c r="J462" i="1"/>
  <c r="J479" i="1"/>
  <c r="J547" i="1"/>
  <c r="J5" i="1"/>
  <c r="J346" i="1"/>
  <c r="J385" i="1"/>
  <c r="J205" i="1"/>
  <c r="J407" i="1"/>
  <c r="J207" i="1"/>
  <c r="J215" i="1"/>
  <c r="J404" i="1"/>
  <c r="J512" i="1"/>
  <c r="J148" i="1"/>
  <c r="J134" i="1"/>
  <c r="J465" i="1"/>
  <c r="J150" i="1"/>
  <c r="J142" i="1"/>
  <c r="J375" i="1"/>
  <c r="J354" i="1"/>
  <c r="J306" i="1"/>
  <c r="J552" i="1"/>
  <c r="J560" i="1"/>
  <c r="J135" i="1"/>
  <c r="J588" i="1"/>
  <c r="J115" i="1"/>
  <c r="J266" i="1"/>
  <c r="J463" i="1"/>
  <c r="J347" i="1"/>
  <c r="J369" i="1"/>
  <c r="J546" i="1"/>
  <c r="J291" i="1"/>
  <c r="J592" i="1"/>
  <c r="J571" i="1"/>
  <c r="J252" i="1"/>
  <c r="J326" i="1"/>
  <c r="J239" i="1"/>
  <c r="J251" i="1"/>
  <c r="J366" i="1"/>
  <c r="J61" i="1"/>
  <c r="J2" i="1"/>
  <c r="J335" i="1"/>
  <c r="J65" i="1"/>
  <c r="J51" i="1"/>
  <c r="J271" i="1"/>
  <c r="J85" i="1"/>
  <c r="J578" i="1"/>
  <c r="J176" i="1"/>
  <c r="J199" i="1"/>
  <c r="J257" i="1"/>
  <c r="J358" i="1"/>
  <c r="J226" i="1"/>
  <c r="J377" i="1"/>
  <c r="J156" i="1"/>
  <c r="J294" i="1"/>
  <c r="J522" i="1"/>
  <c r="J19" i="1"/>
  <c r="J370" i="1"/>
  <c r="J105" i="1"/>
  <c r="J95" i="1"/>
  <c r="J313" i="1"/>
  <c r="J22" i="1"/>
  <c r="J549" i="1"/>
  <c r="J45" i="1"/>
  <c r="J222" i="1"/>
  <c r="J593" i="1"/>
  <c r="J168" i="1"/>
  <c r="J50" i="1"/>
  <c r="J321" i="1"/>
  <c r="J208" i="1"/>
  <c r="J187" i="1"/>
  <c r="J348" i="1"/>
  <c r="J496" i="1"/>
  <c r="J30" i="1"/>
  <c r="J237" i="1"/>
  <c r="J380" i="1"/>
  <c r="J528" i="1"/>
  <c r="J391" i="1"/>
  <c r="J561" i="1"/>
  <c r="J501" i="1"/>
  <c r="J78" i="1"/>
  <c r="J539" i="1"/>
  <c r="J467" i="1"/>
  <c r="J507" i="1"/>
  <c r="J63" i="1"/>
  <c r="J98" i="1"/>
  <c r="J416" i="1"/>
  <c r="J183" i="1"/>
  <c r="J157" i="1"/>
  <c r="J518" i="1"/>
  <c r="J250" i="1"/>
  <c r="J517" i="1"/>
  <c r="J469" i="1"/>
  <c r="J434" i="1"/>
  <c r="J361" i="1"/>
  <c r="J364" i="1"/>
  <c r="J400" i="1"/>
  <c r="J102" i="1"/>
  <c r="J159" i="1"/>
  <c r="J451" i="1"/>
  <c r="J341" i="1"/>
  <c r="J323" i="1"/>
  <c r="J327" i="1"/>
  <c r="J300" i="1"/>
  <c r="J10" i="1"/>
  <c r="J343" i="1"/>
  <c r="J432" i="1"/>
  <c r="J570" i="1"/>
  <c r="J301" i="1"/>
  <c r="J66" i="1"/>
  <c r="J48" i="1"/>
  <c r="J299" i="1"/>
  <c r="J550" i="1"/>
  <c r="J263" i="1"/>
  <c r="J4" i="1"/>
  <c r="J113" i="1"/>
  <c r="J430" i="1"/>
  <c r="J104" i="1"/>
  <c r="J238" i="1"/>
  <c r="J355" i="1"/>
  <c r="J248" i="1"/>
  <c r="J282" i="1"/>
  <c r="J137" i="1"/>
  <c r="J417" i="1"/>
  <c r="J427" i="1"/>
  <c r="J218" i="1"/>
  <c r="J46" i="1"/>
  <c r="J304" i="1"/>
  <c r="J555" i="1"/>
  <c r="J241" i="1"/>
  <c r="J276" i="1"/>
  <c r="J89" i="1"/>
  <c r="J240" i="1"/>
  <c r="J143" i="1"/>
  <c r="J152" i="1"/>
  <c r="J402" i="1"/>
  <c r="J493" i="1"/>
  <c r="J287" i="1"/>
  <c r="J283" i="1"/>
  <c r="J39" i="1"/>
  <c r="J180" i="1"/>
  <c r="J498" i="1"/>
  <c r="J424" i="1"/>
  <c r="J145" i="1"/>
  <c r="J367" i="1"/>
  <c r="J80" i="1"/>
  <c r="J49" i="1"/>
  <c r="J322" i="1"/>
  <c r="J494" i="1"/>
  <c r="J411" i="1"/>
  <c r="J129" i="1"/>
  <c r="J33" i="1"/>
  <c r="J256" i="1"/>
  <c r="J278" i="1"/>
  <c r="J376" i="1"/>
  <c r="J41" i="1"/>
  <c r="J580" i="1"/>
  <c r="J73" i="1"/>
  <c r="J447" i="1"/>
  <c r="J420" i="1"/>
  <c r="J103" i="1"/>
  <c r="J362" i="1"/>
  <c r="J86" i="1"/>
  <c r="J191" i="1"/>
  <c r="J88" i="1"/>
  <c r="J77" i="1"/>
  <c r="J474" i="1"/>
  <c r="J396" i="1"/>
  <c r="J268" i="1"/>
  <c r="J334" i="1"/>
  <c r="J182" i="1"/>
  <c r="J247" i="1"/>
  <c r="J42" i="1"/>
  <c r="J399" i="1"/>
  <c r="J296" i="1"/>
  <c r="J233" i="1"/>
  <c r="J201" i="1"/>
  <c r="J120" i="1"/>
  <c r="J90" i="1"/>
  <c r="J419" i="1"/>
  <c r="J138" i="1"/>
  <c r="J319" i="1"/>
  <c r="J357" i="1"/>
  <c r="J448" i="1"/>
  <c r="J221" i="1"/>
  <c r="J185" i="1"/>
  <c r="J279" i="1"/>
  <c r="J422" i="1"/>
  <c r="J515" i="1"/>
  <c r="J521" i="1"/>
  <c r="J54" i="1"/>
  <c r="J235" i="1"/>
  <c r="J311" i="1"/>
  <c r="J69" i="1"/>
  <c r="J34" i="1"/>
  <c r="J17" i="1"/>
  <c r="J458" i="1"/>
  <c r="J340" i="1"/>
  <c r="J386" i="1"/>
  <c r="J60" i="1"/>
  <c r="J220" i="1"/>
  <c r="J471" i="1"/>
  <c r="J476" i="1"/>
  <c r="J62" i="1"/>
  <c r="J230" i="1"/>
  <c r="J8" i="1"/>
  <c r="J280" i="1"/>
  <c r="J590" i="1"/>
  <c r="J213" i="1"/>
  <c r="J117" i="1"/>
  <c r="J198" i="1"/>
  <c r="J107" i="1"/>
  <c r="J589" i="1"/>
  <c r="J303" i="1"/>
  <c r="J383" i="1"/>
  <c r="J223" i="1"/>
  <c r="J360" i="1"/>
  <c r="J333" i="1"/>
  <c r="J577" i="1"/>
  <c r="J388" i="1"/>
  <c r="J38" i="1"/>
  <c r="J232" i="1"/>
  <c r="J298" i="1"/>
  <c r="J408" i="1"/>
  <c r="J82" i="1"/>
  <c r="J9" i="1"/>
  <c r="J508" i="1"/>
  <c r="J106" i="1"/>
  <c r="J52" i="1"/>
  <c r="J93" i="1"/>
  <c r="J140" i="1"/>
  <c r="J537" i="1"/>
  <c r="J274" i="1"/>
  <c r="J378" i="1"/>
  <c r="J254" i="1"/>
  <c r="J536" i="1"/>
  <c r="J405" i="1"/>
  <c r="J542" i="1"/>
  <c r="J21" i="1"/>
  <c r="J477" i="1"/>
  <c r="J92" i="1"/>
  <c r="J244" i="1"/>
  <c r="J292" i="1"/>
  <c r="J421" i="1"/>
  <c r="J350" i="1"/>
  <c r="J579" i="1"/>
  <c r="J538" i="1"/>
  <c r="J44" i="1"/>
  <c r="J351" i="1"/>
  <c r="J224" i="1"/>
  <c r="J557" i="1"/>
  <c r="J500" i="1"/>
  <c r="J229" i="1"/>
  <c r="J520" i="1"/>
  <c r="J27" i="1"/>
  <c r="J390" i="1"/>
  <c r="J295" i="1"/>
  <c r="J436" i="1"/>
  <c r="J504" i="1"/>
  <c r="J585" i="1"/>
  <c r="J290" i="1"/>
  <c r="J72" i="1"/>
  <c r="J139" i="1"/>
  <c r="J345" i="1"/>
  <c r="J133" i="1"/>
  <c r="J125" i="1"/>
  <c r="J55" i="1"/>
  <c r="J184" i="1"/>
  <c r="J116" i="1"/>
  <c r="J59" i="1"/>
  <c r="J204" i="1"/>
  <c r="J146" i="1"/>
  <c r="J217" i="1"/>
  <c r="J225" i="1"/>
  <c r="J308" i="1"/>
  <c r="J338" i="1"/>
  <c r="J14" i="1"/>
  <c r="J584" i="1"/>
  <c r="J131" i="1"/>
  <c r="J119" i="1"/>
  <c r="J56" i="1"/>
  <c r="J209" i="1"/>
  <c r="J273" i="1"/>
  <c r="J495" i="1"/>
  <c r="J394" i="1"/>
  <c r="J130" i="1"/>
  <c r="J329" i="1"/>
  <c r="J461" i="1"/>
  <c r="J499" i="1"/>
  <c r="J387" i="1"/>
  <c r="J312" i="1"/>
  <c r="J428" i="1"/>
  <c r="J87" i="1"/>
  <c r="J460" i="1"/>
  <c r="J124" i="1"/>
  <c r="J112" i="1"/>
  <c r="J7" i="1"/>
  <c r="J315" i="1"/>
  <c r="J188" i="1"/>
  <c r="J485" i="1"/>
  <c r="J149" i="1"/>
  <c r="J170" i="1"/>
  <c r="J331" i="1"/>
  <c r="J438" i="1"/>
  <c r="J110" i="1"/>
  <c r="J81" i="1"/>
  <c r="J442" i="1"/>
  <c r="J548" i="1"/>
  <c r="J324" i="1"/>
  <c r="J568" i="1"/>
  <c r="J468" i="1"/>
  <c r="J466" i="1"/>
  <c r="J356" i="1"/>
  <c r="J594" i="1"/>
  <c r="J371" i="1"/>
  <c r="J510" i="1"/>
  <c r="J423" i="1"/>
  <c r="J25" i="1"/>
  <c r="J464" i="1"/>
  <c r="J572" i="1"/>
  <c r="J158" i="1"/>
  <c r="J397" i="1"/>
  <c r="J123" i="1"/>
  <c r="J53" i="1"/>
  <c r="J342" i="1"/>
  <c r="J23" i="1"/>
  <c r="J457" i="1"/>
  <c r="J155" i="1"/>
  <c r="J169" i="1"/>
  <c r="J483" i="1"/>
  <c r="J181" i="1"/>
  <c r="J525" i="1"/>
  <c r="J285" i="1"/>
  <c r="J372" i="1"/>
  <c r="J563" i="1"/>
  <c r="J269" i="1"/>
  <c r="J162" i="1"/>
  <c r="J141" i="1"/>
  <c r="J302" i="1"/>
  <c r="J211" i="1"/>
  <c r="J332" i="1"/>
  <c r="J586" i="1"/>
  <c r="J576" i="1"/>
  <c r="J245" i="1"/>
  <c r="J600" i="1"/>
  <c r="J540" i="1"/>
  <c r="J567" i="1"/>
  <c r="J11" i="1"/>
  <c r="J368" i="1"/>
  <c r="J192" i="1"/>
  <c r="J64" i="1"/>
  <c r="J573" i="1"/>
  <c r="J318" i="1"/>
  <c r="J488" i="1"/>
  <c r="J459" i="1"/>
  <c r="J551" i="1"/>
  <c r="J337" i="1"/>
  <c r="J429" i="1"/>
  <c r="J509" i="1"/>
  <c r="J473" i="1"/>
  <c r="J128" i="1"/>
  <c r="J121" i="1"/>
  <c r="J487" i="1"/>
  <c r="J439" i="1"/>
  <c r="J286" i="1"/>
  <c r="J519" i="1"/>
  <c r="J122" i="1"/>
  <c r="J174" i="1"/>
  <c r="J596" i="1"/>
  <c r="J418" i="1"/>
  <c r="J154" i="1"/>
  <c r="J406" i="1"/>
  <c r="J203" i="1"/>
  <c r="J219" i="1"/>
  <c r="J36" i="1"/>
  <c r="J164" i="1"/>
  <c r="J325" i="1"/>
  <c r="J564" i="1"/>
  <c r="J497" i="1"/>
  <c r="J410" i="1"/>
  <c r="J179" i="1"/>
  <c r="J330" i="1"/>
  <c r="J392" i="1"/>
  <c r="J31" i="1"/>
  <c r="J475" i="1"/>
  <c r="J412" i="1"/>
  <c r="J153" i="1"/>
  <c r="J13" i="1"/>
  <c r="J441" i="1"/>
  <c r="J231" i="1"/>
  <c r="J262" i="1"/>
  <c r="J566" i="1"/>
  <c r="J75" i="1"/>
  <c r="J76" i="1"/>
  <c r="J491" i="1"/>
  <c r="J395" i="1"/>
  <c r="J83" i="1"/>
  <c r="J336" i="1"/>
  <c r="J314" i="1"/>
  <c r="J172" i="1"/>
  <c r="J40" i="1"/>
  <c r="J409" i="1"/>
  <c r="J575" i="1"/>
  <c r="J526" i="1"/>
  <c r="J440" i="1"/>
  <c r="J160" i="1"/>
  <c r="J558" i="1"/>
  <c r="J35" i="1"/>
  <c r="J165" i="1"/>
  <c r="J28" i="1"/>
  <c r="J281" i="1"/>
  <c r="J173" i="1"/>
  <c r="J529" i="1"/>
  <c r="J175" i="1"/>
  <c r="J127" i="1"/>
  <c r="J163" i="1"/>
  <c r="J178" i="1"/>
  <c r="J32" i="1"/>
  <c r="J249" i="1"/>
  <c r="J456" i="1"/>
  <c r="J144" i="1"/>
  <c r="J516" i="1"/>
  <c r="J161" i="1"/>
  <c r="J595" i="1"/>
  <c r="J79" i="1"/>
  <c r="J544" i="1"/>
  <c r="J363" i="1"/>
  <c r="J227" i="1"/>
  <c r="J523" i="1"/>
  <c r="J533" i="1"/>
  <c r="J270" i="1"/>
  <c r="J373" i="1"/>
  <c r="J195" i="1"/>
  <c r="J531" i="1"/>
  <c r="J246" i="1"/>
  <c r="J15" i="1"/>
  <c r="J253" i="1"/>
  <c r="J37" i="1"/>
  <c r="J472" i="1"/>
  <c r="J194" i="1"/>
  <c r="J260" i="1"/>
  <c r="J530" i="1"/>
  <c r="J384" i="1"/>
  <c r="J264" i="1"/>
  <c r="J534" i="1"/>
  <c r="J344" i="1"/>
  <c r="J12" i="1"/>
  <c r="J310" i="1"/>
  <c r="J297" i="1"/>
  <c r="J259" i="1"/>
  <c r="J353" i="1"/>
  <c r="J309" i="1"/>
  <c r="J599" i="1"/>
  <c r="J84" i="1"/>
  <c r="J99" i="1"/>
  <c r="J261" i="1"/>
  <c r="J450" i="1"/>
  <c r="J446" i="1"/>
  <c r="J543" i="1"/>
  <c r="J255" i="1"/>
  <c r="J101" i="1"/>
  <c r="J444" i="1"/>
  <c r="J234" i="1"/>
  <c r="J379" i="1"/>
  <c r="J433" i="1"/>
  <c r="J47" i="1"/>
  <c r="J197" i="1"/>
  <c r="J553" i="1"/>
  <c r="J582" i="1"/>
  <c r="J16" i="1"/>
  <c r="J381" i="1"/>
  <c r="J328" i="1"/>
  <c r="J478" i="1"/>
  <c r="J18" i="1"/>
  <c r="J492" i="1"/>
  <c r="J445" i="1"/>
  <c r="J559" i="1"/>
  <c r="J317" i="1"/>
  <c r="J527" i="1"/>
  <c r="J506" i="1"/>
  <c r="J118" i="1"/>
  <c r="J186" i="1"/>
  <c r="J214" i="1"/>
  <c r="J505" i="1"/>
  <c r="J3" i="1"/>
  <c r="J484" i="1"/>
  <c r="J96" i="1"/>
  <c r="J26" i="1"/>
  <c r="J202" i="1"/>
  <c r="J480" i="1"/>
  <c r="J289" i="1"/>
  <c r="J212" i="1"/>
  <c r="J111" i="1"/>
  <c r="J398" i="1"/>
  <c r="J242" i="1"/>
  <c r="J591" i="1"/>
  <c r="J482" i="1"/>
  <c r="J166" i="1"/>
  <c r="J320" i="1"/>
  <c r="J151" i="1"/>
  <c r="J74" i="1"/>
  <c r="J132" i="1"/>
  <c r="J147" i="1"/>
  <c r="J601" i="1"/>
  <c r="J503" i="1"/>
  <c r="J541" i="1"/>
  <c r="J20" i="1"/>
  <c r="J569" i="1"/>
  <c r="J284" i="1"/>
  <c r="J425" i="1"/>
  <c r="J236" i="1"/>
  <c r="J339" i="1"/>
  <c r="J514" i="1"/>
  <c r="J382" i="1"/>
  <c r="J449" i="1"/>
  <c r="J437" i="1"/>
  <c r="J71" i="1"/>
  <c r="J574" i="1"/>
  <c r="J374" i="1"/>
  <c r="J58" i="1"/>
  <c r="J189" i="1"/>
  <c r="J193" i="1"/>
  <c r="J24" i="1"/>
  <c r="J57" i="1"/>
  <c r="J587" i="1"/>
  <c r="J562" i="1"/>
  <c r="J200" i="1"/>
  <c r="J414" i="1"/>
  <c r="J171" i="1"/>
  <c r="J359" i="1"/>
  <c r="J413" i="1"/>
  <c r="J490" i="1"/>
  <c r="J265" i="1"/>
  <c r="J307" i="1"/>
  <c r="J97" i="1"/>
  <c r="J565" i="1"/>
  <c r="J454" i="1"/>
  <c r="J243" i="1"/>
  <c r="J470" i="1"/>
  <c r="J258" i="1"/>
  <c r="J228" i="1"/>
  <c r="J275" i="1"/>
  <c r="J556" i="1"/>
  <c r="J190" i="1"/>
  <c r="J393" i="1"/>
  <c r="J545" i="1"/>
  <c r="J598" i="1"/>
  <c r="J554" i="1"/>
  <c r="J532" i="1"/>
  <c r="J481" i="1"/>
  <c r="J443" i="1"/>
  <c r="I524" i="1"/>
  <c r="I91" i="1"/>
  <c r="I511" i="1"/>
  <c r="I597" i="1"/>
  <c r="I109" i="1"/>
  <c r="I6" i="1"/>
  <c r="I94" i="1"/>
  <c r="I43" i="1"/>
  <c r="I502" i="1"/>
  <c r="I389" i="1"/>
  <c r="I70" i="1"/>
  <c r="I581" i="1"/>
  <c r="I206" i="1"/>
  <c r="I453" i="1"/>
  <c r="I167" i="1"/>
  <c r="I426" i="1"/>
  <c r="I513" i="1"/>
  <c r="I277" i="1"/>
  <c r="I435" i="1"/>
  <c r="I216" i="1"/>
  <c r="I583" i="1"/>
  <c r="I431" i="1"/>
  <c r="I288" i="1"/>
  <c r="I267" i="1"/>
  <c r="I68" i="1"/>
  <c r="I108" i="1"/>
  <c r="I126" i="1"/>
  <c r="I365" i="1"/>
  <c r="I403" i="1"/>
  <c r="I100" i="1"/>
  <c r="I452" i="1"/>
  <c r="I415" i="1"/>
  <c r="I305" i="1"/>
  <c r="I67" i="1"/>
  <c r="I486" i="1"/>
  <c r="I29" i="1"/>
  <c r="I489" i="1"/>
  <c r="I316" i="1"/>
  <c r="I114" i="1"/>
  <c r="I455" i="1"/>
  <c r="I272" i="1"/>
  <c r="I352" i="1"/>
  <c r="I136" i="1"/>
  <c r="I210" i="1"/>
  <c r="I293" i="1"/>
  <c r="I196" i="1"/>
  <c r="I535" i="1"/>
  <c r="I177" i="1"/>
  <c r="I349" i="1"/>
  <c r="I401" i="1"/>
  <c r="I462" i="1"/>
  <c r="I479" i="1"/>
  <c r="I547" i="1"/>
  <c r="I5" i="1"/>
  <c r="I346" i="1"/>
  <c r="I385" i="1"/>
  <c r="I205" i="1"/>
  <c r="I407" i="1"/>
  <c r="I207" i="1"/>
  <c r="I215" i="1"/>
  <c r="I404" i="1"/>
  <c r="I512" i="1"/>
  <c r="I148" i="1"/>
  <c r="I134" i="1"/>
  <c r="I465" i="1"/>
  <c r="I150" i="1"/>
  <c r="I142" i="1"/>
  <c r="I375" i="1"/>
  <c r="I354" i="1"/>
  <c r="I306" i="1"/>
  <c r="I552" i="1"/>
  <c r="I560" i="1"/>
  <c r="I135" i="1"/>
  <c r="I588" i="1"/>
  <c r="I115" i="1"/>
  <c r="I266" i="1"/>
  <c r="I463" i="1"/>
  <c r="I347" i="1"/>
  <c r="I369" i="1"/>
  <c r="I546" i="1"/>
  <c r="I291" i="1"/>
  <c r="I592" i="1"/>
  <c r="I571" i="1"/>
  <c r="I252" i="1"/>
  <c r="I326" i="1"/>
  <c r="I239" i="1"/>
  <c r="I251" i="1"/>
  <c r="I366" i="1"/>
  <c r="I61" i="1"/>
  <c r="I2" i="1"/>
  <c r="I335" i="1"/>
  <c r="I65" i="1"/>
  <c r="I51" i="1"/>
  <c r="I271" i="1"/>
  <c r="I85" i="1"/>
  <c r="I578" i="1"/>
  <c r="I176" i="1"/>
  <c r="I199" i="1"/>
  <c r="I257" i="1"/>
  <c r="I358" i="1"/>
  <c r="I226" i="1"/>
  <c r="I377" i="1"/>
  <c r="I156" i="1"/>
  <c r="I294" i="1"/>
  <c r="I522" i="1"/>
  <c r="I19" i="1"/>
  <c r="I370" i="1"/>
  <c r="I105" i="1"/>
  <c r="I95" i="1"/>
  <c r="I313" i="1"/>
  <c r="I22" i="1"/>
  <c r="I549" i="1"/>
  <c r="I45" i="1"/>
  <c r="I222" i="1"/>
  <c r="I593" i="1"/>
  <c r="I168" i="1"/>
  <c r="I50" i="1"/>
  <c r="I321" i="1"/>
  <c r="I208" i="1"/>
  <c r="I187" i="1"/>
  <c r="I348" i="1"/>
  <c r="I496" i="1"/>
  <c r="I30" i="1"/>
  <c r="I237" i="1"/>
  <c r="I380" i="1"/>
  <c r="I528" i="1"/>
  <c r="I391" i="1"/>
  <c r="I561" i="1"/>
  <c r="I501" i="1"/>
  <c r="I78" i="1"/>
  <c r="I539" i="1"/>
  <c r="I467" i="1"/>
  <c r="I507" i="1"/>
  <c r="I63" i="1"/>
  <c r="I98" i="1"/>
  <c r="I416" i="1"/>
  <c r="I183" i="1"/>
  <c r="I157" i="1"/>
  <c r="I518" i="1"/>
  <c r="I250" i="1"/>
  <c r="I517" i="1"/>
  <c r="I469" i="1"/>
  <c r="I434" i="1"/>
  <c r="I361" i="1"/>
  <c r="I364" i="1"/>
  <c r="I400" i="1"/>
  <c r="I102" i="1"/>
  <c r="I159" i="1"/>
  <c r="I451" i="1"/>
  <c r="I341" i="1"/>
  <c r="I323" i="1"/>
  <c r="I327" i="1"/>
  <c r="I300" i="1"/>
  <c r="I10" i="1"/>
  <c r="I343" i="1"/>
  <c r="I432" i="1"/>
  <c r="I570" i="1"/>
  <c r="I301" i="1"/>
  <c r="I66" i="1"/>
  <c r="I48" i="1"/>
  <c r="I299" i="1"/>
  <c r="I550" i="1"/>
  <c r="I263" i="1"/>
  <c r="I4" i="1"/>
  <c r="I113" i="1"/>
  <c r="I430" i="1"/>
  <c r="I104" i="1"/>
  <c r="I238" i="1"/>
  <c r="I355" i="1"/>
  <c r="I248" i="1"/>
  <c r="I282" i="1"/>
  <c r="I137" i="1"/>
  <c r="I417" i="1"/>
  <c r="I427" i="1"/>
  <c r="I218" i="1"/>
  <c r="I46" i="1"/>
  <c r="I304" i="1"/>
  <c r="I555" i="1"/>
  <c r="I241" i="1"/>
  <c r="I276" i="1"/>
  <c r="I89" i="1"/>
  <c r="I240" i="1"/>
  <c r="I143" i="1"/>
  <c r="I152" i="1"/>
  <c r="I402" i="1"/>
  <c r="I493" i="1"/>
  <c r="I287" i="1"/>
  <c r="I283" i="1"/>
  <c r="I39" i="1"/>
  <c r="I180" i="1"/>
  <c r="I498" i="1"/>
  <c r="I424" i="1"/>
  <c r="I145" i="1"/>
  <c r="I367" i="1"/>
  <c r="I80" i="1"/>
  <c r="I49" i="1"/>
  <c r="I322" i="1"/>
  <c r="I494" i="1"/>
  <c r="I411" i="1"/>
  <c r="I129" i="1"/>
  <c r="I33" i="1"/>
  <c r="I256" i="1"/>
  <c r="I278" i="1"/>
  <c r="I376" i="1"/>
  <c r="I41" i="1"/>
  <c r="I580" i="1"/>
  <c r="I73" i="1"/>
  <c r="I447" i="1"/>
  <c r="I420" i="1"/>
  <c r="I103" i="1"/>
  <c r="I362" i="1"/>
  <c r="I86" i="1"/>
  <c r="I191" i="1"/>
  <c r="I88" i="1"/>
  <c r="I77" i="1"/>
  <c r="I474" i="1"/>
  <c r="I396" i="1"/>
  <c r="I268" i="1"/>
  <c r="I334" i="1"/>
  <c r="I182" i="1"/>
  <c r="I247" i="1"/>
  <c r="I42" i="1"/>
  <c r="I399" i="1"/>
  <c r="I296" i="1"/>
  <c r="I233" i="1"/>
  <c r="I201" i="1"/>
  <c r="I120" i="1"/>
  <c r="I90" i="1"/>
  <c r="I419" i="1"/>
  <c r="I138" i="1"/>
  <c r="I319" i="1"/>
  <c r="I357" i="1"/>
  <c r="I448" i="1"/>
  <c r="I221" i="1"/>
  <c r="I185" i="1"/>
  <c r="I279" i="1"/>
  <c r="I422" i="1"/>
  <c r="I515" i="1"/>
  <c r="I521" i="1"/>
  <c r="I54" i="1"/>
  <c r="I235" i="1"/>
  <c r="I311" i="1"/>
  <c r="I69" i="1"/>
  <c r="I34" i="1"/>
  <c r="I17" i="1"/>
  <c r="I458" i="1"/>
  <c r="I340" i="1"/>
  <c r="I386" i="1"/>
  <c r="I60" i="1"/>
  <c r="I220" i="1"/>
  <c r="I471" i="1"/>
  <c r="I476" i="1"/>
  <c r="I62" i="1"/>
  <c r="I230" i="1"/>
  <c r="I8" i="1"/>
  <c r="I280" i="1"/>
  <c r="I590" i="1"/>
  <c r="I213" i="1"/>
  <c r="I117" i="1"/>
  <c r="I198" i="1"/>
  <c r="I107" i="1"/>
  <c r="I589" i="1"/>
  <c r="I303" i="1"/>
  <c r="I383" i="1"/>
  <c r="I223" i="1"/>
  <c r="I360" i="1"/>
  <c r="I333" i="1"/>
  <c r="I577" i="1"/>
  <c r="I388" i="1"/>
  <c r="I38" i="1"/>
  <c r="I232" i="1"/>
  <c r="I298" i="1"/>
  <c r="I408" i="1"/>
  <c r="I82" i="1"/>
  <c r="I9" i="1"/>
  <c r="I508" i="1"/>
  <c r="I106" i="1"/>
  <c r="I52" i="1"/>
  <c r="I93" i="1"/>
  <c r="I140" i="1"/>
  <c r="I537" i="1"/>
  <c r="I274" i="1"/>
  <c r="I378" i="1"/>
  <c r="I254" i="1"/>
  <c r="I536" i="1"/>
  <c r="I405" i="1"/>
  <c r="I542" i="1"/>
  <c r="I21" i="1"/>
  <c r="I477" i="1"/>
  <c r="I92" i="1"/>
  <c r="I244" i="1"/>
  <c r="I292" i="1"/>
  <c r="I421" i="1"/>
  <c r="I350" i="1"/>
  <c r="I579" i="1"/>
  <c r="I538" i="1"/>
  <c r="I44" i="1"/>
  <c r="I351" i="1"/>
  <c r="I224" i="1"/>
  <c r="I557" i="1"/>
  <c r="I500" i="1"/>
  <c r="I229" i="1"/>
  <c r="I520" i="1"/>
  <c r="I27" i="1"/>
  <c r="I390" i="1"/>
  <c r="I295" i="1"/>
  <c r="I436" i="1"/>
  <c r="I504" i="1"/>
  <c r="I585" i="1"/>
  <c r="I290" i="1"/>
  <c r="I72" i="1"/>
  <c r="I139" i="1"/>
  <c r="I345" i="1"/>
  <c r="I133" i="1"/>
  <c r="I125" i="1"/>
  <c r="I55" i="1"/>
  <c r="I184" i="1"/>
  <c r="I116" i="1"/>
  <c r="I59" i="1"/>
  <c r="I204" i="1"/>
  <c r="I146" i="1"/>
  <c r="I217" i="1"/>
  <c r="I225" i="1"/>
  <c r="I308" i="1"/>
  <c r="I338" i="1"/>
  <c r="I14" i="1"/>
  <c r="I584" i="1"/>
  <c r="I131" i="1"/>
  <c r="I119" i="1"/>
  <c r="I56" i="1"/>
  <c r="I209" i="1"/>
  <c r="I273" i="1"/>
  <c r="I495" i="1"/>
  <c r="I394" i="1"/>
  <c r="I130" i="1"/>
  <c r="I329" i="1"/>
  <c r="I461" i="1"/>
  <c r="I499" i="1"/>
  <c r="I387" i="1"/>
  <c r="I312" i="1"/>
  <c r="I428" i="1"/>
  <c r="I87" i="1"/>
  <c r="I460" i="1"/>
  <c r="I124" i="1"/>
  <c r="I112" i="1"/>
  <c r="I7" i="1"/>
  <c r="I315" i="1"/>
  <c r="I188" i="1"/>
  <c r="I485" i="1"/>
  <c r="I149" i="1"/>
  <c r="I170" i="1"/>
  <c r="I331" i="1"/>
  <c r="I438" i="1"/>
  <c r="I110" i="1"/>
  <c r="I81" i="1"/>
  <c r="I442" i="1"/>
  <c r="I548" i="1"/>
  <c r="I324" i="1"/>
  <c r="I568" i="1"/>
  <c r="I468" i="1"/>
  <c r="I466" i="1"/>
  <c r="I356" i="1"/>
  <c r="I594" i="1"/>
  <c r="I371" i="1"/>
  <c r="I510" i="1"/>
  <c r="I423" i="1"/>
  <c r="I25" i="1"/>
  <c r="I464" i="1"/>
  <c r="I572" i="1"/>
  <c r="I158" i="1"/>
  <c r="I397" i="1"/>
  <c r="I123" i="1"/>
  <c r="I53" i="1"/>
  <c r="I342" i="1"/>
  <c r="I23" i="1"/>
  <c r="I457" i="1"/>
  <c r="I155" i="1"/>
  <c r="I169" i="1"/>
  <c r="I483" i="1"/>
  <c r="I181" i="1"/>
  <c r="I525" i="1"/>
  <c r="I285" i="1"/>
  <c r="I372" i="1"/>
  <c r="I563" i="1"/>
  <c r="I269" i="1"/>
  <c r="I162" i="1"/>
  <c r="I141" i="1"/>
  <c r="I302" i="1"/>
  <c r="I211" i="1"/>
  <c r="I332" i="1"/>
  <c r="I586" i="1"/>
  <c r="I576" i="1"/>
  <c r="I245" i="1"/>
  <c r="I600" i="1"/>
  <c r="I540" i="1"/>
  <c r="I567" i="1"/>
  <c r="I11" i="1"/>
  <c r="I368" i="1"/>
  <c r="I192" i="1"/>
  <c r="I64" i="1"/>
  <c r="I573" i="1"/>
  <c r="I318" i="1"/>
  <c r="I488" i="1"/>
  <c r="I459" i="1"/>
  <c r="I551" i="1"/>
  <c r="I337" i="1"/>
  <c r="I429" i="1"/>
  <c r="I509" i="1"/>
  <c r="I473" i="1"/>
  <c r="I128" i="1"/>
  <c r="I121" i="1"/>
  <c r="I487" i="1"/>
  <c r="I439" i="1"/>
  <c r="I286" i="1"/>
  <c r="I519" i="1"/>
  <c r="I122" i="1"/>
  <c r="I174" i="1"/>
  <c r="I596" i="1"/>
  <c r="I418" i="1"/>
  <c r="I154" i="1"/>
  <c r="I406" i="1"/>
  <c r="I203" i="1"/>
  <c r="I219" i="1"/>
  <c r="I36" i="1"/>
  <c r="I164" i="1"/>
  <c r="I325" i="1"/>
  <c r="I564" i="1"/>
  <c r="I497" i="1"/>
  <c r="I410" i="1"/>
  <c r="I179" i="1"/>
  <c r="I330" i="1"/>
  <c r="I392" i="1"/>
  <c r="I31" i="1"/>
  <c r="I475" i="1"/>
  <c r="I412" i="1"/>
  <c r="I153" i="1"/>
  <c r="I13" i="1"/>
  <c r="I441" i="1"/>
  <c r="I231" i="1"/>
  <c r="I262" i="1"/>
  <c r="I566" i="1"/>
  <c r="I75" i="1"/>
  <c r="I76" i="1"/>
  <c r="I491" i="1"/>
  <c r="I395" i="1"/>
  <c r="I83" i="1"/>
  <c r="I336" i="1"/>
  <c r="I314" i="1"/>
  <c r="I172" i="1"/>
  <c r="I40" i="1"/>
  <c r="I409" i="1"/>
  <c r="I575" i="1"/>
  <c r="I526" i="1"/>
  <c r="I440" i="1"/>
  <c r="I160" i="1"/>
  <c r="I558" i="1"/>
  <c r="I35" i="1"/>
  <c r="I165" i="1"/>
  <c r="I28" i="1"/>
  <c r="I281" i="1"/>
  <c r="I173" i="1"/>
  <c r="I529" i="1"/>
  <c r="I175" i="1"/>
  <c r="I127" i="1"/>
  <c r="I163" i="1"/>
  <c r="I178" i="1"/>
  <c r="I32" i="1"/>
  <c r="I249" i="1"/>
  <c r="I456" i="1"/>
  <c r="I144" i="1"/>
  <c r="I516" i="1"/>
  <c r="I161" i="1"/>
  <c r="I595" i="1"/>
  <c r="I79" i="1"/>
  <c r="I544" i="1"/>
  <c r="I363" i="1"/>
  <c r="I227" i="1"/>
  <c r="I523" i="1"/>
  <c r="I533" i="1"/>
  <c r="I270" i="1"/>
  <c r="I373" i="1"/>
  <c r="I195" i="1"/>
  <c r="I531" i="1"/>
  <c r="I246" i="1"/>
  <c r="I15" i="1"/>
  <c r="I253" i="1"/>
  <c r="I37" i="1"/>
  <c r="I472" i="1"/>
  <c r="I194" i="1"/>
  <c r="I260" i="1"/>
  <c r="I530" i="1"/>
  <c r="I384" i="1"/>
  <c r="I264" i="1"/>
  <c r="I534" i="1"/>
  <c r="I344" i="1"/>
  <c r="I12" i="1"/>
  <c r="I310" i="1"/>
  <c r="I297" i="1"/>
  <c r="I259" i="1"/>
  <c r="I353" i="1"/>
  <c r="I309" i="1"/>
  <c r="I599" i="1"/>
  <c r="I84" i="1"/>
  <c r="I99" i="1"/>
  <c r="I261" i="1"/>
  <c r="I450" i="1"/>
  <c r="I446" i="1"/>
  <c r="I543" i="1"/>
  <c r="I255" i="1"/>
  <c r="I101" i="1"/>
  <c r="I444" i="1"/>
  <c r="I234" i="1"/>
  <c r="I379" i="1"/>
  <c r="I433" i="1"/>
  <c r="I47" i="1"/>
  <c r="I197" i="1"/>
  <c r="I553" i="1"/>
  <c r="I582" i="1"/>
  <c r="I16" i="1"/>
  <c r="I381" i="1"/>
  <c r="I328" i="1"/>
  <c r="I478" i="1"/>
  <c r="I18" i="1"/>
  <c r="I492" i="1"/>
  <c r="I445" i="1"/>
  <c r="I559" i="1"/>
  <c r="I317" i="1"/>
  <c r="I527" i="1"/>
  <c r="I506" i="1"/>
  <c r="I118" i="1"/>
  <c r="I186" i="1"/>
  <c r="I214" i="1"/>
  <c r="I505" i="1"/>
  <c r="I3" i="1"/>
  <c r="I484" i="1"/>
  <c r="I96" i="1"/>
  <c r="I26" i="1"/>
  <c r="I202" i="1"/>
  <c r="I480" i="1"/>
  <c r="I289" i="1"/>
  <c r="I212" i="1"/>
  <c r="I111" i="1"/>
  <c r="I398" i="1"/>
  <c r="I242" i="1"/>
  <c r="I591" i="1"/>
  <c r="I482" i="1"/>
  <c r="I166" i="1"/>
  <c r="I320" i="1"/>
  <c r="I151" i="1"/>
  <c r="I74" i="1"/>
  <c r="I132" i="1"/>
  <c r="I147" i="1"/>
  <c r="I601" i="1"/>
  <c r="I503" i="1"/>
  <c r="I541" i="1"/>
  <c r="I20" i="1"/>
  <c r="I569" i="1"/>
  <c r="I284" i="1"/>
  <c r="I425" i="1"/>
  <c r="I236" i="1"/>
  <c r="I339" i="1"/>
  <c r="I514" i="1"/>
  <c r="I382" i="1"/>
  <c r="I449" i="1"/>
  <c r="I437" i="1"/>
  <c r="I71" i="1"/>
  <c r="I574" i="1"/>
  <c r="I374" i="1"/>
  <c r="I58" i="1"/>
  <c r="I189" i="1"/>
  <c r="I193" i="1"/>
  <c r="I24" i="1"/>
  <c r="I57" i="1"/>
  <c r="I587" i="1"/>
  <c r="I562" i="1"/>
  <c r="I200" i="1"/>
  <c r="I414" i="1"/>
  <c r="I171" i="1"/>
  <c r="I359" i="1"/>
  <c r="I413" i="1"/>
  <c r="I490" i="1"/>
  <c r="I265" i="1"/>
  <c r="I307" i="1"/>
  <c r="I97" i="1"/>
  <c r="I565" i="1"/>
  <c r="I454" i="1"/>
  <c r="I243" i="1"/>
  <c r="I470" i="1"/>
  <c r="I258" i="1"/>
  <c r="I228" i="1"/>
  <c r="I275" i="1"/>
  <c r="I556" i="1"/>
  <c r="I190" i="1"/>
  <c r="I393" i="1"/>
  <c r="I545" i="1"/>
  <c r="I598" i="1"/>
  <c r="I554" i="1"/>
  <c r="I532" i="1"/>
  <c r="I481" i="1"/>
  <c r="I443" i="1"/>
  <c r="G524" i="1"/>
  <c r="G91" i="1"/>
  <c r="G511" i="1"/>
  <c r="G597" i="1"/>
  <c r="G109" i="1"/>
  <c r="G6" i="1"/>
  <c r="G94" i="1"/>
  <c r="G43" i="1"/>
  <c r="G502" i="1"/>
  <c r="G389" i="1"/>
  <c r="G70" i="1"/>
  <c r="G581" i="1"/>
  <c r="G206" i="1"/>
  <c r="G453" i="1"/>
  <c r="G167" i="1"/>
  <c r="G426" i="1"/>
  <c r="G513" i="1"/>
  <c r="G277" i="1"/>
  <c r="G435" i="1"/>
  <c r="G216" i="1"/>
  <c r="G583" i="1"/>
  <c r="G431" i="1"/>
  <c r="G288" i="1"/>
  <c r="G267" i="1"/>
  <c r="G68" i="1"/>
  <c r="G108" i="1"/>
  <c r="G126" i="1"/>
  <c r="G365" i="1"/>
  <c r="G403" i="1"/>
  <c r="G100" i="1"/>
  <c r="G452" i="1"/>
  <c r="G415" i="1"/>
  <c r="G305" i="1"/>
  <c r="G67" i="1"/>
  <c r="G486" i="1"/>
  <c r="G29" i="1"/>
  <c r="G489" i="1"/>
  <c r="G316" i="1"/>
  <c r="G114" i="1"/>
  <c r="G455" i="1"/>
  <c r="G272" i="1"/>
  <c r="G352" i="1"/>
  <c r="G136" i="1"/>
  <c r="G210" i="1"/>
  <c r="G293" i="1"/>
  <c r="G196" i="1"/>
  <c r="G535" i="1"/>
  <c r="G177" i="1"/>
  <c r="G349" i="1"/>
  <c r="G401" i="1"/>
  <c r="G462" i="1"/>
  <c r="G479" i="1"/>
  <c r="G547" i="1"/>
  <c r="G5" i="1"/>
  <c r="G346" i="1"/>
  <c r="G385" i="1"/>
  <c r="G205" i="1"/>
  <c r="G407" i="1"/>
  <c r="G207" i="1"/>
  <c r="G215" i="1"/>
  <c r="G404" i="1"/>
  <c r="G512" i="1"/>
  <c r="G148" i="1"/>
  <c r="G134" i="1"/>
  <c r="G465" i="1"/>
  <c r="G150" i="1"/>
  <c r="G142" i="1"/>
  <c r="G375" i="1"/>
  <c r="G354" i="1"/>
  <c r="G306" i="1"/>
  <c r="G552" i="1"/>
  <c r="G560" i="1"/>
  <c r="G135" i="1"/>
  <c r="G588" i="1"/>
  <c r="G115" i="1"/>
  <c r="G266" i="1"/>
  <c r="G463" i="1"/>
  <c r="G347" i="1"/>
  <c r="G369" i="1"/>
  <c r="G546" i="1"/>
  <c r="G291" i="1"/>
  <c r="G592" i="1"/>
  <c r="G571" i="1"/>
  <c r="G252" i="1"/>
  <c r="G326" i="1"/>
  <c r="G239" i="1"/>
  <c r="G251" i="1"/>
  <c r="G366" i="1"/>
  <c r="G61" i="1"/>
  <c r="G2" i="1"/>
  <c r="G335" i="1"/>
  <c r="G65" i="1"/>
  <c r="G51" i="1"/>
  <c r="G271" i="1"/>
  <c r="G85" i="1"/>
  <c r="G578" i="1"/>
  <c r="G176" i="1"/>
  <c r="G199" i="1"/>
  <c r="G257" i="1"/>
  <c r="G358" i="1"/>
  <c r="G226" i="1"/>
  <c r="G377" i="1"/>
  <c r="G156" i="1"/>
  <c r="G294" i="1"/>
  <c r="G522" i="1"/>
  <c r="G19" i="1"/>
  <c r="G370" i="1"/>
  <c r="G105" i="1"/>
  <c r="G95" i="1"/>
  <c r="G313" i="1"/>
  <c r="G22" i="1"/>
  <c r="G549" i="1"/>
  <c r="G45" i="1"/>
  <c r="G222" i="1"/>
  <c r="G593" i="1"/>
  <c r="G168" i="1"/>
  <c r="G50" i="1"/>
  <c r="G321" i="1"/>
  <c r="G208" i="1"/>
  <c r="G187" i="1"/>
  <c r="G348" i="1"/>
  <c r="G496" i="1"/>
  <c r="G30" i="1"/>
  <c r="G237" i="1"/>
  <c r="G380" i="1"/>
  <c r="G528" i="1"/>
  <c r="G391" i="1"/>
  <c r="G561" i="1"/>
  <c r="G501" i="1"/>
  <c r="G78" i="1"/>
  <c r="G539" i="1"/>
  <c r="G467" i="1"/>
  <c r="G507" i="1"/>
  <c r="G63" i="1"/>
  <c r="G98" i="1"/>
  <c r="G416" i="1"/>
  <c r="G183" i="1"/>
  <c r="G157" i="1"/>
  <c r="G518" i="1"/>
  <c r="G250" i="1"/>
  <c r="G517" i="1"/>
  <c r="G469" i="1"/>
  <c r="G434" i="1"/>
  <c r="G361" i="1"/>
  <c r="G364" i="1"/>
  <c r="G400" i="1"/>
  <c r="G102" i="1"/>
  <c r="G159" i="1"/>
  <c r="G451" i="1"/>
  <c r="G341" i="1"/>
  <c r="G323" i="1"/>
  <c r="G327" i="1"/>
  <c r="G300" i="1"/>
  <c r="G10" i="1"/>
  <c r="G343" i="1"/>
  <c r="G432" i="1"/>
  <c r="G570" i="1"/>
  <c r="G301" i="1"/>
  <c r="G66" i="1"/>
  <c r="G48" i="1"/>
  <c r="G299" i="1"/>
  <c r="G550" i="1"/>
  <c r="G263" i="1"/>
  <c r="G4" i="1"/>
  <c r="G113" i="1"/>
  <c r="G430" i="1"/>
  <c r="G104" i="1"/>
  <c r="G238" i="1"/>
  <c r="G355" i="1"/>
  <c r="G248" i="1"/>
  <c r="G282" i="1"/>
  <c r="G137" i="1"/>
  <c r="G417" i="1"/>
  <c r="G427" i="1"/>
  <c r="G218" i="1"/>
  <c r="G46" i="1"/>
  <c r="G304" i="1"/>
  <c r="G555" i="1"/>
  <c r="G241" i="1"/>
  <c r="G276" i="1"/>
  <c r="G89" i="1"/>
  <c r="G240" i="1"/>
  <c r="G143" i="1"/>
  <c r="G152" i="1"/>
  <c r="G402" i="1"/>
  <c r="G493" i="1"/>
  <c r="G287" i="1"/>
  <c r="G283" i="1"/>
  <c r="G39" i="1"/>
  <c r="G180" i="1"/>
  <c r="G498" i="1"/>
  <c r="G424" i="1"/>
  <c r="G145" i="1"/>
  <c r="G367" i="1"/>
  <c r="G80" i="1"/>
  <c r="G49" i="1"/>
  <c r="G322" i="1"/>
  <c r="G494" i="1"/>
  <c r="G411" i="1"/>
  <c r="G129" i="1"/>
  <c r="G33" i="1"/>
  <c r="G256" i="1"/>
  <c r="G278" i="1"/>
  <c r="G376" i="1"/>
  <c r="G41" i="1"/>
  <c r="G580" i="1"/>
  <c r="G73" i="1"/>
  <c r="G447" i="1"/>
  <c r="G420" i="1"/>
  <c r="G103" i="1"/>
  <c r="G362" i="1"/>
  <c r="G86" i="1"/>
  <c r="G191" i="1"/>
  <c r="G88" i="1"/>
  <c r="G77" i="1"/>
  <c r="G474" i="1"/>
  <c r="G396" i="1"/>
  <c r="G268" i="1"/>
  <c r="G334" i="1"/>
  <c r="G182" i="1"/>
  <c r="G247" i="1"/>
  <c r="G42" i="1"/>
  <c r="G399" i="1"/>
  <c r="G296" i="1"/>
  <c r="G233" i="1"/>
  <c r="G201" i="1"/>
  <c r="G120" i="1"/>
  <c r="G90" i="1"/>
  <c r="G419" i="1"/>
  <c r="G138" i="1"/>
  <c r="G319" i="1"/>
  <c r="G357" i="1"/>
  <c r="G448" i="1"/>
  <c r="G221" i="1"/>
  <c r="G185" i="1"/>
  <c r="G279" i="1"/>
  <c r="G422" i="1"/>
  <c r="G515" i="1"/>
  <c r="G521" i="1"/>
  <c r="G54" i="1"/>
  <c r="G235" i="1"/>
  <c r="G311" i="1"/>
  <c r="G69" i="1"/>
  <c r="G34" i="1"/>
  <c r="G17" i="1"/>
  <c r="G458" i="1"/>
  <c r="G340" i="1"/>
  <c r="G386" i="1"/>
  <c r="G60" i="1"/>
  <c r="G220" i="1"/>
  <c r="G471" i="1"/>
  <c r="G476" i="1"/>
  <c r="G62" i="1"/>
  <c r="G230" i="1"/>
  <c r="G8" i="1"/>
  <c r="G280" i="1"/>
  <c r="G590" i="1"/>
  <c r="G213" i="1"/>
  <c r="G117" i="1"/>
  <c r="G198" i="1"/>
  <c r="G107" i="1"/>
  <c r="G589" i="1"/>
  <c r="G303" i="1"/>
  <c r="G383" i="1"/>
  <c r="G223" i="1"/>
  <c r="G360" i="1"/>
  <c r="G333" i="1"/>
  <c r="G577" i="1"/>
  <c r="G388" i="1"/>
  <c r="G38" i="1"/>
  <c r="G232" i="1"/>
  <c r="G298" i="1"/>
  <c r="G408" i="1"/>
  <c r="G82" i="1"/>
  <c r="G9" i="1"/>
  <c r="G508" i="1"/>
  <c r="G106" i="1"/>
  <c r="G52" i="1"/>
  <c r="G93" i="1"/>
  <c r="G140" i="1"/>
  <c r="G537" i="1"/>
  <c r="G274" i="1"/>
  <c r="G378" i="1"/>
  <c r="G254" i="1"/>
  <c r="G536" i="1"/>
  <c r="G405" i="1"/>
  <c r="G542" i="1"/>
  <c r="G21" i="1"/>
  <c r="G477" i="1"/>
  <c r="G92" i="1"/>
  <c r="G244" i="1"/>
  <c r="G292" i="1"/>
  <c r="G421" i="1"/>
  <c r="G350" i="1"/>
  <c r="G579" i="1"/>
  <c r="G538" i="1"/>
  <c r="G44" i="1"/>
  <c r="G351" i="1"/>
  <c r="G224" i="1"/>
  <c r="G557" i="1"/>
  <c r="G500" i="1"/>
  <c r="G229" i="1"/>
  <c r="G520" i="1"/>
  <c r="G27" i="1"/>
  <c r="G390" i="1"/>
  <c r="G295" i="1"/>
  <c r="G436" i="1"/>
  <c r="G504" i="1"/>
  <c r="G585" i="1"/>
  <c r="G290" i="1"/>
  <c r="G72" i="1"/>
  <c r="G139" i="1"/>
  <c r="G345" i="1"/>
  <c r="G133" i="1"/>
  <c r="G125" i="1"/>
  <c r="G55" i="1"/>
  <c r="G184" i="1"/>
  <c r="G116" i="1"/>
  <c r="G59" i="1"/>
  <c r="G204" i="1"/>
  <c r="G146" i="1"/>
  <c r="G217" i="1"/>
  <c r="G225" i="1"/>
  <c r="G308" i="1"/>
  <c r="G338" i="1"/>
  <c r="G14" i="1"/>
  <c r="G584" i="1"/>
  <c r="G131" i="1"/>
  <c r="G119" i="1"/>
  <c r="G56" i="1"/>
  <c r="G209" i="1"/>
  <c r="G273" i="1"/>
  <c r="G495" i="1"/>
  <c r="G394" i="1"/>
  <c r="G130" i="1"/>
  <c r="G329" i="1"/>
  <c r="G461" i="1"/>
  <c r="G499" i="1"/>
  <c r="G387" i="1"/>
  <c r="G312" i="1"/>
  <c r="G428" i="1"/>
  <c r="G87" i="1"/>
  <c r="G460" i="1"/>
  <c r="G124" i="1"/>
  <c r="G112" i="1"/>
  <c r="G7" i="1"/>
  <c r="G315" i="1"/>
  <c r="G188" i="1"/>
  <c r="G485" i="1"/>
  <c r="G149" i="1"/>
  <c r="G170" i="1"/>
  <c r="G331" i="1"/>
  <c r="G438" i="1"/>
  <c r="G110" i="1"/>
  <c r="G81" i="1"/>
  <c r="G442" i="1"/>
  <c r="G548" i="1"/>
  <c r="G324" i="1"/>
  <c r="G568" i="1"/>
  <c r="G468" i="1"/>
  <c r="G466" i="1"/>
  <c r="G356" i="1"/>
  <c r="G594" i="1"/>
  <c r="G371" i="1"/>
  <c r="G510" i="1"/>
  <c r="G423" i="1"/>
  <c r="G25" i="1"/>
  <c r="G464" i="1"/>
  <c r="G572" i="1"/>
  <c r="G158" i="1"/>
  <c r="G397" i="1"/>
  <c r="G123" i="1"/>
  <c r="G53" i="1"/>
  <c r="G342" i="1"/>
  <c r="G23" i="1"/>
  <c r="G457" i="1"/>
  <c r="G155" i="1"/>
  <c r="G169" i="1"/>
  <c r="G483" i="1"/>
  <c r="G181" i="1"/>
  <c r="G525" i="1"/>
  <c r="G285" i="1"/>
  <c r="G372" i="1"/>
  <c r="G563" i="1"/>
  <c r="G269" i="1"/>
  <c r="G162" i="1"/>
  <c r="G141" i="1"/>
  <c r="G302" i="1"/>
  <c r="G211" i="1"/>
  <c r="G332" i="1"/>
  <c r="G586" i="1"/>
  <c r="G576" i="1"/>
  <c r="G245" i="1"/>
  <c r="G600" i="1"/>
  <c r="G540" i="1"/>
  <c r="G567" i="1"/>
  <c r="G11" i="1"/>
  <c r="G368" i="1"/>
  <c r="G192" i="1"/>
  <c r="G64" i="1"/>
  <c r="G573" i="1"/>
  <c r="G318" i="1"/>
  <c r="G488" i="1"/>
  <c r="G459" i="1"/>
  <c r="G551" i="1"/>
  <c r="G337" i="1"/>
  <c r="G429" i="1"/>
  <c r="G509" i="1"/>
  <c r="G473" i="1"/>
  <c r="G128" i="1"/>
  <c r="G121" i="1"/>
  <c r="G487" i="1"/>
  <c r="G439" i="1"/>
  <c r="G286" i="1"/>
  <c r="G519" i="1"/>
  <c r="G122" i="1"/>
  <c r="G174" i="1"/>
  <c r="G596" i="1"/>
  <c r="G418" i="1"/>
  <c r="G154" i="1"/>
  <c r="G406" i="1"/>
  <c r="G203" i="1"/>
  <c r="G219" i="1"/>
  <c r="G36" i="1"/>
  <c r="G164" i="1"/>
  <c r="G325" i="1"/>
  <c r="G564" i="1"/>
  <c r="G497" i="1"/>
  <c r="G410" i="1"/>
  <c r="G179" i="1"/>
  <c r="G330" i="1"/>
  <c r="G392" i="1"/>
  <c r="G31" i="1"/>
  <c r="G475" i="1"/>
  <c r="G412" i="1"/>
  <c r="G153" i="1"/>
  <c r="G13" i="1"/>
  <c r="G441" i="1"/>
  <c r="G231" i="1"/>
  <c r="G262" i="1"/>
  <c r="G566" i="1"/>
  <c r="G75" i="1"/>
  <c r="G76" i="1"/>
  <c r="G491" i="1"/>
  <c r="G395" i="1"/>
  <c r="G83" i="1"/>
  <c r="G336" i="1"/>
  <c r="G314" i="1"/>
  <c r="G172" i="1"/>
  <c r="G40" i="1"/>
  <c r="G409" i="1"/>
  <c r="G575" i="1"/>
  <c r="G526" i="1"/>
  <c r="G440" i="1"/>
  <c r="G160" i="1"/>
  <c r="G558" i="1"/>
  <c r="G35" i="1"/>
  <c r="G165" i="1"/>
  <c r="G28" i="1"/>
  <c r="G281" i="1"/>
  <c r="G173" i="1"/>
  <c r="G529" i="1"/>
  <c r="G175" i="1"/>
  <c r="G127" i="1"/>
  <c r="G163" i="1"/>
  <c r="G178" i="1"/>
  <c r="G32" i="1"/>
  <c r="G249" i="1"/>
  <c r="G456" i="1"/>
  <c r="G144" i="1"/>
  <c r="G516" i="1"/>
  <c r="G161" i="1"/>
  <c r="G595" i="1"/>
  <c r="G79" i="1"/>
  <c r="G544" i="1"/>
  <c r="G363" i="1"/>
  <c r="G227" i="1"/>
  <c r="G523" i="1"/>
  <c r="G533" i="1"/>
  <c r="G270" i="1"/>
  <c r="G373" i="1"/>
  <c r="G195" i="1"/>
  <c r="G531" i="1"/>
  <c r="G246" i="1"/>
  <c r="G15" i="1"/>
  <c r="G253" i="1"/>
  <c r="G37" i="1"/>
  <c r="G472" i="1"/>
  <c r="G194" i="1"/>
  <c r="G260" i="1"/>
  <c r="G530" i="1"/>
  <c r="G384" i="1"/>
  <c r="G264" i="1"/>
  <c r="G534" i="1"/>
  <c r="G344" i="1"/>
  <c r="G12" i="1"/>
  <c r="G310" i="1"/>
  <c r="G297" i="1"/>
  <c r="G259" i="1"/>
  <c r="G353" i="1"/>
  <c r="G309" i="1"/>
  <c r="G599" i="1"/>
  <c r="G84" i="1"/>
  <c r="G99" i="1"/>
  <c r="G261" i="1"/>
  <c r="G450" i="1"/>
  <c r="G446" i="1"/>
  <c r="G543" i="1"/>
  <c r="G255" i="1"/>
  <c r="G101" i="1"/>
  <c r="G444" i="1"/>
  <c r="G234" i="1"/>
  <c r="G379" i="1"/>
  <c r="G433" i="1"/>
  <c r="G47" i="1"/>
  <c r="G197" i="1"/>
  <c r="G553" i="1"/>
  <c r="G582" i="1"/>
  <c r="G16" i="1"/>
  <c r="G381" i="1"/>
  <c r="G328" i="1"/>
  <c r="G478" i="1"/>
  <c r="G18" i="1"/>
  <c r="G492" i="1"/>
  <c r="G445" i="1"/>
  <c r="G559" i="1"/>
  <c r="G317" i="1"/>
  <c r="G527" i="1"/>
  <c r="G506" i="1"/>
  <c r="G118" i="1"/>
  <c r="G186" i="1"/>
  <c r="G214" i="1"/>
  <c r="G505" i="1"/>
  <c r="G3" i="1"/>
  <c r="G484" i="1"/>
  <c r="G96" i="1"/>
  <c r="G26" i="1"/>
  <c r="G202" i="1"/>
  <c r="G480" i="1"/>
  <c r="G289" i="1"/>
  <c r="G212" i="1"/>
  <c r="G111" i="1"/>
  <c r="G398" i="1"/>
  <c r="G242" i="1"/>
  <c r="G591" i="1"/>
  <c r="G482" i="1"/>
  <c r="G166" i="1"/>
  <c r="G320" i="1"/>
  <c r="G151" i="1"/>
  <c r="G74" i="1"/>
  <c r="G132" i="1"/>
  <c r="G147" i="1"/>
  <c r="G601" i="1"/>
  <c r="G503" i="1"/>
  <c r="G541" i="1"/>
  <c r="G20" i="1"/>
  <c r="G569" i="1"/>
  <c r="G284" i="1"/>
  <c r="G425" i="1"/>
  <c r="G236" i="1"/>
  <c r="G339" i="1"/>
  <c r="G514" i="1"/>
  <c r="G382" i="1"/>
  <c r="G449" i="1"/>
  <c r="G437" i="1"/>
  <c r="G71" i="1"/>
  <c r="G574" i="1"/>
  <c r="G374" i="1"/>
  <c r="G58" i="1"/>
  <c r="G189" i="1"/>
  <c r="G193" i="1"/>
  <c r="G24" i="1"/>
  <c r="G57" i="1"/>
  <c r="G587" i="1"/>
  <c r="G562" i="1"/>
  <c r="G200" i="1"/>
  <c r="G414" i="1"/>
  <c r="G171" i="1"/>
  <c r="G359" i="1"/>
  <c r="G413" i="1"/>
  <c r="G490" i="1"/>
  <c r="G265" i="1"/>
  <c r="G307" i="1"/>
  <c r="G97" i="1"/>
  <c r="G565" i="1"/>
  <c r="G454" i="1"/>
  <c r="G243" i="1"/>
  <c r="G470" i="1"/>
  <c r="G258" i="1"/>
  <c r="G228" i="1"/>
  <c r="G275" i="1"/>
  <c r="G556" i="1"/>
  <c r="G190" i="1"/>
  <c r="G393" i="1"/>
  <c r="G545" i="1"/>
  <c r="G598" i="1"/>
  <c r="G554" i="1"/>
  <c r="G532" i="1"/>
  <c r="G481" i="1"/>
  <c r="G443" i="1"/>
  <c r="P6" i="1"/>
  <c r="P5" i="1"/>
</calcChain>
</file>

<file path=xl/sharedStrings.xml><?xml version="1.0" encoding="utf-8"?>
<sst xmlns="http://schemas.openxmlformats.org/spreadsheetml/2006/main" count="1846" uniqueCount="647">
  <si>
    <t>EmployeeID</t>
  </si>
  <si>
    <t>Name</t>
  </si>
  <si>
    <t>Department</t>
  </si>
  <si>
    <t>Age</t>
  </si>
  <si>
    <t>JoiningDate</t>
  </si>
  <si>
    <t>Salary</t>
  </si>
  <si>
    <t>PerformanceScore</t>
  </si>
  <si>
    <t>Location</t>
  </si>
  <si>
    <t>LeavesTaken</t>
  </si>
  <si>
    <t>Employee_1</t>
  </si>
  <si>
    <t>Marketing</t>
  </si>
  <si>
    <t>Toronto</t>
  </si>
  <si>
    <t>Employee_2</t>
  </si>
  <si>
    <t>Sales</t>
  </si>
  <si>
    <t>Sydney</t>
  </si>
  <si>
    <t>Employee_3</t>
  </si>
  <si>
    <t>IT</t>
  </si>
  <si>
    <t>Mumbai</t>
  </si>
  <si>
    <t>Employee_4</t>
  </si>
  <si>
    <t>New York</t>
  </si>
  <si>
    <t>Employee_5</t>
  </si>
  <si>
    <t>Employee_6</t>
  </si>
  <si>
    <t>Employee_7</t>
  </si>
  <si>
    <t>London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</si>
  <si>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</si>
  <si>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</si>
  <si>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</si>
  <si>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</si>
  <si>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</si>
  <si>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</si>
  <si>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</si>
  <si>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</si>
  <si>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</si>
  <si>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</si>
  <si>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</si>
  <si>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</si>
  <si>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</si>
  <si>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</si>
  <si>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</si>
  <si>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</si>
  <si>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</si>
  <si>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</si>
  <si>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</si>
  <si>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</si>
  <si>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</si>
  <si>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</si>
  <si>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</si>
  <si>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</si>
  <si>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</si>
  <si>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</si>
  <si>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</si>
  <si>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</si>
  <si>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</si>
  <si>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</si>
  <si>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</si>
  <si>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</si>
  <si>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</si>
  <si>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</si>
  <si>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</si>
  <si>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</si>
  <si>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</si>
  <si>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</si>
  <si>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</si>
  <si>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</si>
  <si>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</si>
  <si>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</si>
  <si>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</si>
  <si>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</si>
  <si>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</si>
  <si>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</si>
  <si>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</si>
  <si>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</si>
  <si>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</si>
  <si>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</si>
  <si>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</si>
  <si>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</si>
  <si>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</si>
  <si>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</si>
  <si>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</si>
  <si>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</si>
  <si>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</si>
  <si>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</si>
  <si>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</si>
  <si>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</si>
  <si>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</si>
  <si>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</si>
  <si>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</si>
  <si>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</si>
  <si>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</si>
  <si>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</si>
  <si>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</si>
  <si>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</si>
  <si>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</si>
  <si>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</si>
  <si>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</si>
  <si>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</si>
  <si>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</si>
  <si>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</si>
  <si>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</si>
  <si>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</si>
  <si>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</si>
  <si>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</si>
  <si>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</si>
  <si>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</si>
  <si>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</si>
  <si>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</si>
  <si>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</si>
  <si>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</si>
  <si>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</si>
  <si>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</si>
  <si>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</si>
  <si>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</si>
  <si>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</si>
  <si>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</si>
  <si>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</si>
  <si>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</si>
  <si>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</si>
  <si>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</si>
  <si>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</si>
  <si>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</si>
  <si>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</si>
  <si>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</si>
  <si>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</si>
  <si>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</si>
  <si>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</si>
  <si>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</si>
  <si>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</si>
  <si>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</si>
  <si>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</si>
  <si>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</si>
  <si>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</si>
  <si>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</si>
  <si>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</si>
  <si>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</si>
  <si>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</si>
  <si>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</si>
  <si>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</si>
  <si>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</si>
  <si>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</si>
  <si>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</si>
  <si>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</si>
  <si>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</si>
  <si>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</si>
  <si>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</si>
  <si>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</si>
  <si>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</si>
  <si>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</si>
  <si>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</si>
  <si>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</si>
  <si>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</si>
  <si>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</si>
  <si>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</si>
  <si>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</si>
  <si>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</si>
  <si>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</si>
  <si>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</si>
  <si>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</si>
  <si>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</si>
  <si>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</si>
  <si>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</si>
  <si>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</si>
  <si>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</si>
  <si>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</si>
  <si>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</si>
  <si>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</si>
  <si>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</si>
  <si>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</si>
  <si>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</si>
  <si>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</si>
  <si>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</si>
  <si>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</si>
  <si>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</si>
  <si>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</si>
  <si>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</si>
  <si>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</si>
  <si>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</si>
  <si>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</si>
  <si>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</si>
  <si>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</si>
  <si>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</si>
  <si>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</si>
  <si>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</si>
  <si>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</si>
  <si>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</si>
  <si>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</si>
  <si>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</si>
  <si>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</si>
  <si>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</si>
  <si>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</si>
  <si>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</si>
  <si>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</si>
  <si>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</si>
  <si>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</si>
  <si>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</si>
  <si>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</si>
  <si>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</si>
  <si>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</si>
  <si>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</si>
  <si>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</si>
  <si>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</si>
  <si>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</si>
  <si>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</si>
  <si>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</si>
  <si>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</si>
  <si>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</si>
  <si>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</si>
  <si>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</si>
  <si>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</si>
  <si>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</si>
  <si>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</si>
  <si>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</si>
  <si>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</si>
  <si>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</si>
  <si>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</si>
  <si>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</si>
  <si>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</si>
  <si>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</si>
  <si>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</si>
  <si>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</si>
  <si>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</si>
  <si>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</si>
  <si>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</si>
  <si>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</si>
  <si>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</si>
  <si>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</si>
  <si>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</si>
  <si>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</si>
  <si>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</si>
  <si>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</si>
  <si>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</si>
  <si>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</si>
  <si>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</si>
  <si>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</si>
  <si>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</si>
  <si>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</si>
  <si>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</si>
  <si>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</si>
  <si>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</si>
  <si>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</si>
  <si>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</si>
  <si>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</si>
  <si>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</si>
  <si>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</si>
  <si>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</si>
  <si>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</si>
  <si>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</si>
  <si>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</si>
  <si>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</si>
  <si>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</si>
  <si>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</si>
  <si>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</si>
  <si>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</si>
  <si>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</si>
  <si>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</si>
  <si>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</si>
  <si>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</si>
  <si>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</si>
  <si>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</si>
  <si>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</si>
  <si>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</si>
  <si>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</si>
  <si>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</si>
  <si>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</si>
  <si>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</si>
  <si>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</si>
  <si>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</si>
  <si>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</si>
  <si>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</si>
  <si>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</si>
  <si>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</si>
  <si>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</si>
  <si>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</si>
  <si>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</si>
  <si>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</si>
  <si>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</si>
  <si>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</si>
  <si>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</si>
  <si>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</si>
  <si>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</si>
  <si>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</si>
  <si>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</si>
  <si>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</si>
  <si>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</si>
  <si>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</si>
  <si>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</si>
  <si>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</si>
  <si>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</si>
  <si>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</si>
  <si>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</si>
  <si>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</si>
  <si>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</si>
  <si>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</si>
  <si>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</si>
  <si>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</si>
  <si>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</si>
  <si>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</si>
  <si>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</si>
  <si>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</si>
  <si>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</si>
  <si>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</si>
  <si>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</si>
  <si>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</si>
  <si>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</si>
  <si>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</si>
  <si>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</si>
  <si>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</si>
  <si>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</si>
  <si>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</si>
  <si>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</si>
  <si>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</si>
  <si>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</si>
  <si>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</si>
  <si>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</si>
  <si>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</si>
  <si>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</si>
  <si>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</si>
  <si>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</si>
  <si>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</si>
  <si>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</si>
  <si>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</si>
  <si>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</si>
  <si>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</si>
  <si>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</si>
  <si>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</si>
  <si>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</si>
  <si>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</si>
  <si>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</si>
  <si>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</si>
  <si>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</si>
  <si>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</si>
  <si>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</si>
  <si>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</si>
  <si>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</si>
  <si>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</si>
  <si>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</si>
  <si>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</si>
  <si>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</si>
  <si>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</si>
  <si>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</si>
  <si>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</si>
  <si>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</si>
  <si>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</si>
  <si>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</si>
  <si>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</si>
  <si>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</si>
  <si>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</si>
  <si>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</si>
  <si>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</si>
  <si>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</si>
  <si>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</si>
  <si>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</si>
  <si>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</si>
  <si>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</si>
  <si>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</si>
  <si>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</si>
  <si>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</si>
  <si>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</si>
  <si>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</si>
  <si>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</si>
  <si>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</si>
  <si>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</si>
  <si>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</si>
  <si>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</si>
  <si>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</si>
  <si>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</si>
  <si>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</si>
  <si>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</si>
  <si>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</si>
  <si>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</si>
  <si>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</si>
  <si>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</si>
  <si>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</si>
  <si>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</si>
  <si>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</si>
  <si>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</si>
  <si>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</si>
  <si>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</si>
  <si>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</si>
  <si>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</si>
  <si>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</si>
  <si>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</si>
  <si>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</si>
  <si>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</si>
  <si>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</si>
  <si>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</si>
  <si>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</si>
  <si>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</si>
  <si>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</si>
  <si>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</si>
  <si>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</si>
  <si>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</si>
  <si>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</si>
  <si>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</si>
  <si>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</si>
  <si>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</si>
  <si>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</si>
  <si>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</si>
  <si>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</si>
  <si>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</si>
  <si>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</si>
  <si>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</si>
  <si>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</si>
  <si>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</si>
  <si>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</si>
  <si>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</si>
  <si>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</si>
  <si>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</si>
  <si>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</si>
  <si>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</si>
  <si>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</si>
  <si>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</si>
  <si>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</si>
  <si>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</si>
  <si>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</si>
  <si>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</si>
  <si>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</si>
  <si>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</si>
  <si>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</si>
  <si>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</si>
  <si>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</si>
  <si>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</si>
  <si>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</si>
  <si>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</si>
  <si>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</si>
  <si>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</si>
  <si>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</si>
  <si>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</si>
  <si>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</si>
  <si>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</si>
  <si>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</si>
  <si>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</si>
  <si>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</si>
  <si>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</si>
  <si>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</si>
  <si>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</si>
  <si>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</si>
  <si>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</si>
  <si>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</si>
  <si>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</si>
  <si>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</si>
  <si>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</si>
  <si>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</si>
  <si>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</si>
  <si>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</si>
  <si>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</si>
  <si>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</si>
  <si>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</si>
  <si>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</si>
  <si>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</si>
  <si>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</si>
  <si>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</si>
  <si>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</si>
  <si>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</si>
  <si>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</si>
  <si>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</si>
  <si>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</si>
  <si>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</si>
  <si>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</si>
  <si>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</si>
  <si>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</si>
  <si>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</si>
  <si>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</si>
  <si>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</si>
  <si>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</si>
  <si>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</si>
  <si>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</si>
  <si>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</si>
  <si>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</si>
  <si>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</si>
  <si>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</si>
  <si>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</si>
  <si>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</si>
  <si>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</si>
  <si>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</si>
  <si>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</si>
  <si>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</si>
  <si>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</si>
  <si>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</si>
  <si>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</si>
  <si>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</si>
  <si>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</si>
  <si>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</si>
  <si>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</si>
  <si>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</si>
  <si>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</si>
  <si>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</si>
  <si>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</si>
  <si>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</si>
  <si>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</si>
  <si>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</si>
  <si>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</si>
  <si>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</si>
  <si>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</si>
  <si>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</si>
  <si>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</si>
  <si>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</si>
  <si>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</si>
  <si>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</si>
  <si>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</si>
  <si>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</si>
  <si>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</si>
  <si>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</si>
  <si>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</si>
  <si>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</si>
  <si>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</si>
  <si>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</si>
  <si>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</si>
  <si>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</si>
  <si>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</si>
  <si>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</si>
  <si>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</si>
  <si>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</si>
  <si>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</si>
  <si>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</si>
  <si>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</si>
  <si>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</si>
  <si>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</si>
  <si>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</si>
  <si>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</si>
  <si>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</si>
  <si>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</si>
  <si>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</si>
  <si>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</si>
  <si>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</si>
  <si>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</si>
  <si>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</si>
  <si>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</si>
  <si>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</si>
  <si>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</si>
  <si>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</si>
  <si>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</si>
  <si>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</si>
  <si>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</si>
  <si>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</si>
  <si>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</si>
  <si>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</si>
  <si>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</si>
  <si>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</si>
  <si>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</si>
  <si>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</si>
  <si>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</si>
  <si>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</si>
  <si>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</si>
  <si>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</si>
  <si>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</si>
  <si>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</si>
  <si>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</si>
  <si>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</si>
  <si>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</si>
  <si>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</si>
  <si>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</si>
  <si>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</si>
  <si>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</si>
  <si>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</si>
  <si>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</si>
  <si>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</si>
  <si>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</si>
  <si>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</si>
  <si>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</si>
  <si>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</si>
  <si>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</si>
  <si>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</si>
  <si>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</si>
  <si>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</si>
  <si>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</si>
  <si>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</si>
  <si>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</si>
  <si>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</si>
  <si>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</si>
  <si>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</si>
  <si>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</si>
  <si>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</si>
  <si>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</si>
  <si>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</si>
  <si>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</si>
  <si>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</si>
  <si>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</si>
  <si>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</si>
  <si>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</si>
  <si>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</si>
  <si>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</si>
  <si>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</si>
  <si>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</si>
  <si>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</si>
  <si>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</si>
  <si>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</si>
  <si>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</si>
  <si>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</si>
  <si>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</si>
  <si>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</si>
  <si>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</si>
  <si>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</si>
  <si>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</si>
  <si>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</si>
  <si>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</si>
  <si>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</si>
  <si>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</si>
  <si>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</si>
  <si>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</si>
  <si>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</si>
  <si>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</si>
  <si>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</si>
  <si>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</si>
  <si>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</si>
  <si>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</si>
  <si>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</si>
  <si>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</si>
  <si>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</si>
  <si>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</si>
  <si>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</si>
  <si>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</si>
  <si>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</si>
  <si>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</si>
  <si>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</si>
  <si>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</si>
  <si>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</si>
  <si>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</si>
  <si>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</si>
  <si>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Excel Practice Assignment - Employee Dataset</t>
  </si>
  <si>
    <t>1. Data Entry &amp; Cleaning</t>
  </si>
  <si>
    <t xml:space="preserve">   - Find and remove any duplicate rows.</t>
  </si>
  <si>
    <t xml:space="preserve">   - Identify and handle missing values (add some blanks manually for practice).</t>
  </si>
  <si>
    <t xml:space="preserve">   - Standardize Department names (e.g., Finance instead of finance).</t>
  </si>
  <si>
    <t>2. Basic Formulas</t>
  </si>
  <si>
    <t xml:space="preserve">   - Calculate total salary expense.</t>
  </si>
  <si>
    <t xml:space="preserve">   - Find the average age of employees.</t>
  </si>
  <si>
    <t xml:space="preserve">   - Create a new column for Annual Salary = Salary * 12.</t>
  </si>
  <si>
    <t>3. Logical Functions</t>
  </si>
  <si>
    <t xml:space="preserve">   - Add a column High_Performer: If PerformanceScore &gt;= 4 → Yes, else No.</t>
  </si>
  <si>
    <t xml:space="preserve">   - Add a column Eligible_for_Promotion: If Age &gt; 30 AND PerformanceScore &gt;= 4 → Yes, else No.</t>
  </si>
  <si>
    <t>4. Sort &amp; Filter</t>
  </si>
  <si>
    <t xml:space="preserve">   - Sort employees by Salary (highest to lowest).</t>
  </si>
  <si>
    <t xml:space="preserve">   - Filter employees from IT earning more than 80,000.</t>
  </si>
  <si>
    <t>5. VLOOKUP &amp; MATCH</t>
  </si>
  <si>
    <t xml:space="preserve">   - Create a table with Department and Bonus% (HR=5%, Finance=7%, IT=10%, Marketing=8%, Sales=6%).</t>
  </si>
  <si>
    <t xml:space="preserve">   - Use VLOOKUP to assign a Bonus% to each employee.</t>
  </si>
  <si>
    <t xml:space="preserve">   - Use INDEX &amp; MATCH to find the Salary of a specific EmployeeID.</t>
  </si>
  <si>
    <t>6. Data Preparation</t>
  </si>
  <si>
    <t xml:space="preserve">   - Create a Pivot Table showing the average Salary per Department.</t>
  </si>
  <si>
    <t xml:space="preserve">   - Create a Pivot Table showing total LeavesTaken per Location.</t>
  </si>
  <si>
    <t>done</t>
  </si>
  <si>
    <t>finance</t>
  </si>
  <si>
    <t>total  salary</t>
  </si>
  <si>
    <t>avege of age</t>
  </si>
  <si>
    <t>aunal salary 12%</t>
  </si>
  <si>
    <t>High_Performer</t>
  </si>
  <si>
    <t>Eligible_for_Promotion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</si>
</sst>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01"/>
  <sheetViews>
    <sheetView tabSelected="1" workbookViewId="0">
      <selection activeCell="F1" sqref="F1"/>
    </sheetView>
  </sheetViews>
  <sheetFormatPr defaultRowHeight="14.5" x14ac:dyDescent="0.35"/>
  <cols>
    <col min="2" max="2" width="13.08984375" bestFit="1" customWidth="1"/>
    <col min="3" max="3" width="11.08984375" bestFit="1" customWidth="1"/>
    <col min="5" max="5" width="17.81640625" bestFit="1" customWidth="1"/>
    <col min="7" max="7" width="14.81640625" bestFit="1" customWidth="1"/>
    <col min="8" max="8" width="16.26953125" bestFit="1" customWidth="1"/>
    <col min="9" max="10" width="16.26953125" customWidth="1"/>
    <col min="15" max="15" width="10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644</v>
      </c>
      <c r="H1" s="1" t="s">
        <v>6</v>
      </c>
      <c r="I1" s="1" t="s">
        <v>645</v>
      </c>
      <c r="J1" s="1" t="s">
        <v>646</v>
      </c>
      <c r="K1" s="1" t="s">
        <v>7</v>
      </c>
      <c r="L1" s="1" t="s">
        <v>8</v>
      </c>
    </row>
    <row r="2" spans="1:16" x14ac:dyDescent="0.35">
      <c r="A2">
        <v>1091</v>
      </c>
      <c r="B2" t="s">
        <v>108</v>
      </c>
      <c r="C2" t="s">
        <v>16</v>
      </c>
      <c r="D2">
        <v>55</v>
      </c>
      <c r="E2" s="2">
        <v>42095</v>
      </c>
      <c r="F2">
        <v>119934</v>
      </c>
      <c r="G2">
        <f>F2*0.12</f>
        <v>14392.08</v>
      </c>
      <c r="H2">
        <v>1</v>
      </c>
      <c r="I2" t="str">
        <f>IF(H2&gt;=4,"yes","no")</f>
        <v>no</v>
      </c>
      <c r="J2" t="str">
        <f>IF(AND(D2&gt;30,H2&gt;=4),"yes","no")</f>
        <v>no</v>
      </c>
      <c r="K2" t="s">
        <v>14</v>
      </c>
      <c r="L2">
        <v>2</v>
      </c>
    </row>
    <row r="3" spans="1:16" x14ac:dyDescent="0.35">
      <c r="A3">
        <v>1535</v>
      </c>
      <c r="B3" t="s">
        <v>552</v>
      </c>
      <c r="C3" t="s">
        <v>16</v>
      </c>
      <c r="D3">
        <v>41</v>
      </c>
      <c r="E3" s="2">
        <v>42539</v>
      </c>
      <c r="F3">
        <v>117447</v>
      </c>
      <c r="G3">
        <f>F3*0.12</f>
        <v>14093.64</v>
      </c>
      <c r="H3">
        <v>5</v>
      </c>
      <c r="I3" t="str">
        <f>IF(H3&gt;=4,"yes","no")</f>
        <v>yes</v>
      </c>
      <c r="J3" t="str">
        <f>IF(AND(D3&gt;30,H3&gt;=4),"yes","no")</f>
        <v>yes</v>
      </c>
      <c r="K3" t="s">
        <v>19</v>
      </c>
      <c r="L3">
        <v>24</v>
      </c>
    </row>
    <row r="4" spans="1:16" x14ac:dyDescent="0.35">
      <c r="A4">
        <v>1165</v>
      </c>
      <c r="B4" t="s">
        <v>182</v>
      </c>
      <c r="C4" t="s">
        <v>16</v>
      </c>
      <c r="D4">
        <v>26</v>
      </c>
      <c r="E4" s="2">
        <v>42169</v>
      </c>
      <c r="F4">
        <v>115816</v>
      </c>
      <c r="G4">
        <f>F4*0.12</f>
        <v>13897.92</v>
      </c>
      <c r="H4">
        <v>2</v>
      </c>
      <c r="I4" t="str">
        <f>IF(H4&gt;=4,"yes","no")</f>
        <v>no</v>
      </c>
      <c r="J4" t="str">
        <f>IF(AND(D4&gt;30,H4&gt;=4),"yes","no")</f>
        <v>no</v>
      </c>
      <c r="K4" t="s">
        <v>14</v>
      </c>
      <c r="L4">
        <v>26</v>
      </c>
    </row>
    <row r="5" spans="1:16" x14ac:dyDescent="0.35">
      <c r="A5">
        <v>1055</v>
      </c>
      <c r="B5" t="s">
        <v>72</v>
      </c>
      <c r="C5" t="s">
        <v>16</v>
      </c>
      <c r="D5">
        <v>53</v>
      </c>
      <c r="E5" s="2">
        <v>42059</v>
      </c>
      <c r="F5">
        <v>115327</v>
      </c>
      <c r="G5">
        <f>F5*0.12</f>
        <v>13839.24</v>
      </c>
      <c r="H5">
        <v>1</v>
      </c>
      <c r="I5" t="str">
        <f>IF(H5&gt;=4,"yes","no")</f>
        <v>no</v>
      </c>
      <c r="J5" t="str">
        <f>IF(AND(D5&gt;30,H5&gt;=4),"yes","no")</f>
        <v>no</v>
      </c>
      <c r="K5" t="s">
        <v>23</v>
      </c>
      <c r="L5">
        <v>26</v>
      </c>
      <c r="O5" t="s">
        <v>642</v>
      </c>
      <c r="P5">
        <f>SUM(F2:F601)</f>
        <v>43315935</v>
      </c>
    </row>
    <row r="6" spans="1:16" x14ac:dyDescent="0.35">
      <c r="A6">
        <v>1007</v>
      </c>
      <c r="B6" t="s">
        <v>22</v>
      </c>
      <c r="C6" t="s">
        <v>16</v>
      </c>
      <c r="D6">
        <v>39</v>
      </c>
      <c r="E6" s="2">
        <v>42011</v>
      </c>
      <c r="F6">
        <v>114399</v>
      </c>
      <c r="G6">
        <f>F6*0.12</f>
        <v>13727.88</v>
      </c>
      <c r="H6">
        <v>1</v>
      </c>
      <c r="I6" t="str">
        <f>IF(H6&gt;=4,"yes","no")</f>
        <v>no</v>
      </c>
      <c r="J6" t="str">
        <f>IF(AND(D6&gt;30,H6&gt;=4),"yes","no")</f>
        <v>no</v>
      </c>
      <c r="K6" t="s">
        <v>23</v>
      </c>
      <c r="L6">
        <v>12</v>
      </c>
      <c r="O6" t="s">
        <v>643</v>
      </c>
      <c r="P6">
        <f>AVERAGE(D2:D601)</f>
        <v>40.805</v>
      </c>
    </row>
    <row r="7" spans="1:16" x14ac:dyDescent="0.35">
      <c r="A7">
        <v>1347</v>
      </c>
      <c r="B7" t="s">
        <v>364</v>
      </c>
      <c r="C7" t="s">
        <v>16</v>
      </c>
      <c r="D7">
        <v>54</v>
      </c>
      <c r="E7" s="2">
        <v>42351</v>
      </c>
      <c r="F7">
        <v>112266</v>
      </c>
      <c r="G7">
        <f>F7*0.12</f>
        <v>13471.92</v>
      </c>
      <c r="H7">
        <v>4</v>
      </c>
      <c r="I7" t="str">
        <f>IF(H7&gt;=4,"yes","no")</f>
        <v>yes</v>
      </c>
      <c r="J7" t="str">
        <f>IF(AND(D7&gt;30,H7&gt;=4),"yes","no")</f>
        <v>yes</v>
      </c>
      <c r="K7" t="s">
        <v>17</v>
      </c>
      <c r="L7">
        <v>26</v>
      </c>
    </row>
    <row r="8" spans="1:16" x14ac:dyDescent="0.35">
      <c r="A8">
        <v>1256</v>
      </c>
      <c r="B8" t="s">
        <v>273</v>
      </c>
      <c r="C8" t="s">
        <v>16</v>
      </c>
      <c r="D8">
        <v>36</v>
      </c>
      <c r="E8" s="2">
        <v>42260</v>
      </c>
      <c r="F8">
        <v>111988</v>
      </c>
      <c r="G8">
        <f>F8*0.12</f>
        <v>13438.56</v>
      </c>
      <c r="H8">
        <v>4</v>
      </c>
      <c r="I8" t="str">
        <f>IF(H8&gt;=4,"yes","no")</f>
        <v>yes</v>
      </c>
      <c r="J8" t="str">
        <f>IF(AND(D8&gt;30,H8&gt;=4),"yes","no")</f>
        <v>yes</v>
      </c>
      <c r="K8" t="s">
        <v>23</v>
      </c>
      <c r="L8">
        <v>7</v>
      </c>
    </row>
    <row r="9" spans="1:16" x14ac:dyDescent="0.35">
      <c r="A9">
        <v>1276</v>
      </c>
      <c r="B9" t="s">
        <v>293</v>
      </c>
      <c r="C9" t="s">
        <v>16</v>
      </c>
      <c r="D9">
        <v>34</v>
      </c>
      <c r="E9" s="2">
        <v>42280</v>
      </c>
      <c r="F9">
        <v>111206</v>
      </c>
      <c r="G9">
        <f>F9*0.12</f>
        <v>13344.72</v>
      </c>
      <c r="H9">
        <v>2</v>
      </c>
      <c r="I9" t="str">
        <f>IF(H9&gt;=4,"yes","no")</f>
        <v>no</v>
      </c>
      <c r="J9" t="str">
        <f>IF(AND(D9&gt;30,H9&gt;=4),"yes","no")</f>
        <v>no</v>
      </c>
      <c r="K9" t="s">
        <v>14</v>
      </c>
      <c r="L9">
        <v>10</v>
      </c>
    </row>
    <row r="10" spans="1:16" x14ac:dyDescent="0.35">
      <c r="A10">
        <v>1155</v>
      </c>
      <c r="B10" t="s">
        <v>172</v>
      </c>
      <c r="C10" t="s">
        <v>16</v>
      </c>
      <c r="D10">
        <v>53</v>
      </c>
      <c r="E10" s="2">
        <v>42159</v>
      </c>
      <c r="F10">
        <v>110680</v>
      </c>
      <c r="G10">
        <f>F10*0.12</f>
        <v>13281.6</v>
      </c>
      <c r="H10">
        <v>2</v>
      </c>
      <c r="I10" t="str">
        <f>IF(H10&gt;=4,"yes","no")</f>
        <v>no</v>
      </c>
      <c r="J10" t="str">
        <f>IF(AND(D10&gt;30,H10&gt;=4),"yes","no")</f>
        <v>no</v>
      </c>
      <c r="K10" t="s">
        <v>17</v>
      </c>
      <c r="L10">
        <v>5</v>
      </c>
    </row>
    <row r="11" spans="1:16" x14ac:dyDescent="0.35">
      <c r="A11">
        <v>1398</v>
      </c>
      <c r="B11" t="s">
        <v>415</v>
      </c>
      <c r="C11" t="s">
        <v>16</v>
      </c>
      <c r="D11">
        <v>33</v>
      </c>
      <c r="E11" s="2">
        <v>42402</v>
      </c>
      <c r="F11">
        <v>109976</v>
      </c>
      <c r="G11">
        <f>F11*0.12</f>
        <v>13197.119999999999</v>
      </c>
      <c r="H11">
        <v>1</v>
      </c>
      <c r="I11" t="str">
        <f>IF(H11&gt;=4,"yes","no")</f>
        <v>no</v>
      </c>
      <c r="J11" t="str">
        <f>IF(AND(D11&gt;30,H11&gt;=4),"yes","no")</f>
        <v>no</v>
      </c>
      <c r="K11" t="s">
        <v>17</v>
      </c>
      <c r="L11">
        <v>4</v>
      </c>
    </row>
    <row r="12" spans="1:16" x14ac:dyDescent="0.35">
      <c r="A12">
        <v>1497</v>
      </c>
      <c r="B12" t="s">
        <v>514</v>
      </c>
      <c r="C12" t="s">
        <v>16</v>
      </c>
      <c r="D12">
        <v>58</v>
      </c>
      <c r="E12" s="2">
        <v>42501</v>
      </c>
      <c r="F12">
        <v>108976</v>
      </c>
      <c r="G12">
        <f>F12*0.12</f>
        <v>13077.119999999999</v>
      </c>
      <c r="H12">
        <v>4</v>
      </c>
      <c r="I12" t="str">
        <f>IF(H12&gt;=4,"yes","no")</f>
        <v>yes</v>
      </c>
      <c r="J12" t="str">
        <f>IF(AND(D12&gt;30,H12&gt;=4),"yes","no")</f>
        <v>yes</v>
      </c>
      <c r="K12" t="s">
        <v>14</v>
      </c>
      <c r="L12">
        <v>12</v>
      </c>
    </row>
    <row r="13" spans="1:16" x14ac:dyDescent="0.35">
      <c r="A13">
        <v>1438</v>
      </c>
      <c r="B13" t="s">
        <v>455</v>
      </c>
      <c r="C13" t="s">
        <v>16</v>
      </c>
      <c r="D13">
        <v>46</v>
      </c>
      <c r="E13" s="2">
        <v>42442</v>
      </c>
      <c r="F13">
        <v>107503</v>
      </c>
      <c r="G13">
        <f>F13*0.12</f>
        <v>12900.359999999999</v>
      </c>
      <c r="H13">
        <v>5</v>
      </c>
      <c r="I13" t="str">
        <f>IF(H13&gt;=4,"yes","no")</f>
        <v>yes</v>
      </c>
      <c r="J13" t="str">
        <f>IF(AND(D13&gt;30,H13&gt;=4),"yes","no")</f>
        <v>yes</v>
      </c>
      <c r="K13" t="s">
        <v>11</v>
      </c>
      <c r="L13">
        <v>27</v>
      </c>
    </row>
    <row r="14" spans="1:16" x14ac:dyDescent="0.35">
      <c r="A14">
        <v>1327</v>
      </c>
      <c r="B14" t="s">
        <v>344</v>
      </c>
      <c r="C14" t="s">
        <v>16</v>
      </c>
      <c r="D14">
        <v>29</v>
      </c>
      <c r="E14" s="2">
        <v>42331</v>
      </c>
      <c r="F14">
        <v>107197</v>
      </c>
      <c r="G14">
        <f>F14*0.12</f>
        <v>12863.64</v>
      </c>
      <c r="H14">
        <v>1</v>
      </c>
      <c r="I14" t="str">
        <f>IF(H14&gt;=4,"yes","no")</f>
        <v>no</v>
      </c>
      <c r="J14" t="str">
        <f>IF(AND(D14&gt;30,H14&gt;=4),"yes","no")</f>
        <v>no</v>
      </c>
      <c r="K14" t="s">
        <v>14</v>
      </c>
      <c r="L14">
        <v>18</v>
      </c>
    </row>
    <row r="15" spans="1:16" x14ac:dyDescent="0.35">
      <c r="A15">
        <v>1486</v>
      </c>
      <c r="B15" t="s">
        <v>503</v>
      </c>
      <c r="C15" t="s">
        <v>16</v>
      </c>
      <c r="D15">
        <v>44</v>
      </c>
      <c r="E15" s="2">
        <v>42490</v>
      </c>
      <c r="F15">
        <v>106905</v>
      </c>
      <c r="G15">
        <f>F15*0.12</f>
        <v>12828.6</v>
      </c>
      <c r="H15">
        <v>5</v>
      </c>
      <c r="I15" t="str">
        <f>IF(H15&gt;=4,"yes","no")</f>
        <v>yes</v>
      </c>
      <c r="J15" t="str">
        <f>IF(AND(D15&gt;30,H15&gt;=4),"yes","no")</f>
        <v>yes</v>
      </c>
      <c r="K15" t="s">
        <v>19</v>
      </c>
      <c r="L15">
        <v>13</v>
      </c>
    </row>
    <row r="16" spans="1:16" x14ac:dyDescent="0.35">
      <c r="A16">
        <v>1520</v>
      </c>
      <c r="B16" t="s">
        <v>537</v>
      </c>
      <c r="C16" t="s">
        <v>16</v>
      </c>
      <c r="D16">
        <v>42</v>
      </c>
      <c r="E16" s="2">
        <v>42524</v>
      </c>
      <c r="F16">
        <v>105885</v>
      </c>
      <c r="G16">
        <f>F16*0.12</f>
        <v>12706.199999999999</v>
      </c>
      <c r="H16">
        <v>1</v>
      </c>
      <c r="I16" t="str">
        <f>IF(H16&gt;=4,"yes","no")</f>
        <v>no</v>
      </c>
      <c r="J16" t="str">
        <f>IF(AND(D16&gt;30,H16&gt;=4),"yes","no")</f>
        <v>no</v>
      </c>
      <c r="K16" t="s">
        <v>19</v>
      </c>
      <c r="L16">
        <v>21</v>
      </c>
    </row>
    <row r="17" spans="1:12" x14ac:dyDescent="0.35">
      <c r="A17">
        <v>1246</v>
      </c>
      <c r="B17" t="s">
        <v>263</v>
      </c>
      <c r="C17" t="s">
        <v>16</v>
      </c>
      <c r="D17">
        <v>23</v>
      </c>
      <c r="E17" s="2">
        <v>42250</v>
      </c>
      <c r="F17">
        <v>105199</v>
      </c>
      <c r="G17">
        <f>F17*0.12</f>
        <v>12623.88</v>
      </c>
      <c r="H17">
        <v>1</v>
      </c>
      <c r="I17" t="str">
        <f>IF(H17&gt;=4,"yes","no")</f>
        <v>no</v>
      </c>
      <c r="J17" t="str">
        <f>IF(AND(D17&gt;30,H17&gt;=4),"yes","no")</f>
        <v>no</v>
      </c>
      <c r="K17" t="s">
        <v>23</v>
      </c>
      <c r="L17">
        <v>14</v>
      </c>
    </row>
    <row r="18" spans="1:12" x14ac:dyDescent="0.35">
      <c r="A18">
        <v>1524</v>
      </c>
      <c r="B18" t="s">
        <v>541</v>
      </c>
      <c r="C18" t="s">
        <v>16</v>
      </c>
      <c r="D18">
        <v>50</v>
      </c>
      <c r="E18" s="2">
        <v>42528</v>
      </c>
      <c r="F18">
        <v>104148</v>
      </c>
      <c r="G18">
        <f>F18*0.12</f>
        <v>12497.76</v>
      </c>
      <c r="H18">
        <v>4</v>
      </c>
      <c r="I18" t="str">
        <f>IF(H18&gt;=4,"yes","no")</f>
        <v>yes</v>
      </c>
      <c r="J18" t="str">
        <f>IF(AND(D18&gt;30,H18&gt;=4),"yes","no")</f>
        <v>yes</v>
      </c>
      <c r="K18" t="s">
        <v>14</v>
      </c>
      <c r="L18">
        <v>23</v>
      </c>
    </row>
    <row r="19" spans="1:12" x14ac:dyDescent="0.35">
      <c r="A19">
        <v>1107</v>
      </c>
      <c r="B19" t="s">
        <v>124</v>
      </c>
      <c r="C19" t="s">
        <v>16</v>
      </c>
      <c r="D19">
        <v>42</v>
      </c>
      <c r="E19" s="2">
        <v>42111</v>
      </c>
      <c r="F19">
        <v>103945</v>
      </c>
      <c r="G19">
        <f>F19*0.12</f>
        <v>12473.4</v>
      </c>
      <c r="H19">
        <v>5</v>
      </c>
      <c r="I19" t="str">
        <f>IF(H19&gt;=4,"yes","no")</f>
        <v>yes</v>
      </c>
      <c r="J19" t="str">
        <f>IF(AND(D19&gt;30,H19&gt;=4),"yes","no")</f>
        <v>yes</v>
      </c>
      <c r="K19" t="s">
        <v>14</v>
      </c>
      <c r="L19">
        <v>8</v>
      </c>
    </row>
    <row r="20" spans="1:12" x14ac:dyDescent="0.35">
      <c r="A20">
        <v>1557</v>
      </c>
      <c r="B20" t="s">
        <v>574</v>
      </c>
      <c r="C20" t="s">
        <v>16</v>
      </c>
      <c r="D20">
        <v>43</v>
      </c>
      <c r="E20" s="2">
        <v>42561</v>
      </c>
      <c r="F20">
        <v>103339</v>
      </c>
      <c r="G20">
        <f>F20*0.12</f>
        <v>12400.68</v>
      </c>
      <c r="H20">
        <v>3</v>
      </c>
      <c r="I20" t="str">
        <f>IF(H20&gt;=4,"yes","no")</f>
        <v>no</v>
      </c>
      <c r="J20" t="str">
        <f>IF(AND(D20&gt;30,H20&gt;=4),"yes","no")</f>
        <v>no</v>
      </c>
      <c r="K20" t="s">
        <v>11</v>
      </c>
      <c r="L20">
        <v>16</v>
      </c>
    </row>
    <row r="21" spans="1:12" x14ac:dyDescent="0.35">
      <c r="A21">
        <v>1289</v>
      </c>
      <c r="B21" t="s">
        <v>306</v>
      </c>
      <c r="C21" t="s">
        <v>16</v>
      </c>
      <c r="D21">
        <v>58</v>
      </c>
      <c r="E21" s="2">
        <v>42293</v>
      </c>
      <c r="F21">
        <v>103249</v>
      </c>
      <c r="G21">
        <f>F21*0.12</f>
        <v>12389.88</v>
      </c>
      <c r="H21">
        <v>1</v>
      </c>
      <c r="I21" t="str">
        <f>IF(H21&gt;=4,"yes","no")</f>
        <v>no</v>
      </c>
      <c r="J21" t="str">
        <f>IF(AND(D21&gt;30,H21&gt;=4),"yes","no")</f>
        <v>no</v>
      </c>
      <c r="K21" t="s">
        <v>19</v>
      </c>
      <c r="L21">
        <v>23</v>
      </c>
    </row>
    <row r="22" spans="1:12" x14ac:dyDescent="0.35">
      <c r="A22">
        <v>1112</v>
      </c>
      <c r="B22" t="s">
        <v>129</v>
      </c>
      <c r="C22" t="s">
        <v>16</v>
      </c>
      <c r="D22">
        <v>55</v>
      </c>
      <c r="E22" s="2">
        <v>42116</v>
      </c>
      <c r="F22">
        <v>103187</v>
      </c>
      <c r="G22">
        <f>F22*0.12</f>
        <v>12382.439999999999</v>
      </c>
      <c r="H22">
        <v>2</v>
      </c>
      <c r="I22" t="str">
        <f>IF(H22&gt;=4,"yes","no")</f>
        <v>no</v>
      </c>
      <c r="J22" t="str">
        <f>IF(AND(D22&gt;30,H22&gt;=4),"yes","no")</f>
        <v>no</v>
      </c>
      <c r="K22" t="s">
        <v>11</v>
      </c>
      <c r="L22">
        <v>25</v>
      </c>
    </row>
    <row r="23" spans="1:12" x14ac:dyDescent="0.35">
      <c r="A23">
        <v>1376</v>
      </c>
      <c r="B23" t="s">
        <v>393</v>
      </c>
      <c r="C23" t="s">
        <v>16</v>
      </c>
      <c r="D23">
        <v>23</v>
      </c>
      <c r="E23" s="2">
        <v>42380</v>
      </c>
      <c r="F23">
        <v>102258</v>
      </c>
      <c r="G23">
        <f>F23*0.12</f>
        <v>12270.96</v>
      </c>
      <c r="H23">
        <v>2</v>
      </c>
      <c r="I23" t="str">
        <f>IF(H23&gt;=4,"yes","no")</f>
        <v>no</v>
      </c>
      <c r="J23" t="str">
        <f>IF(AND(D23&gt;30,H23&gt;=4),"yes","no")</f>
        <v>no</v>
      </c>
      <c r="K23" t="s">
        <v>23</v>
      </c>
      <c r="L23">
        <v>14</v>
      </c>
    </row>
    <row r="24" spans="1:12" x14ac:dyDescent="0.35">
      <c r="A24">
        <v>1573</v>
      </c>
      <c r="B24" t="s">
        <v>590</v>
      </c>
      <c r="C24" t="s">
        <v>16</v>
      </c>
      <c r="D24">
        <v>46</v>
      </c>
      <c r="E24" s="2">
        <v>42577</v>
      </c>
      <c r="F24">
        <v>101707</v>
      </c>
      <c r="G24">
        <f>F24*0.12</f>
        <v>12204.84</v>
      </c>
      <c r="H24">
        <v>1</v>
      </c>
      <c r="I24" t="str">
        <f>IF(H24&gt;=4,"yes","no")</f>
        <v>no</v>
      </c>
      <c r="J24" t="str">
        <f>IF(AND(D24&gt;30,H24&gt;=4),"yes","no")</f>
        <v>no</v>
      </c>
      <c r="K24" t="s">
        <v>19</v>
      </c>
      <c r="L24">
        <v>10</v>
      </c>
    </row>
    <row r="25" spans="1:12" x14ac:dyDescent="0.35">
      <c r="A25">
        <v>1368</v>
      </c>
      <c r="B25" t="s">
        <v>385</v>
      </c>
      <c r="C25" t="s">
        <v>16</v>
      </c>
      <c r="D25">
        <v>45</v>
      </c>
      <c r="E25" s="2">
        <v>42372</v>
      </c>
      <c r="F25">
        <v>100932</v>
      </c>
      <c r="G25">
        <f>F25*0.12</f>
        <v>12111.84</v>
      </c>
      <c r="H25">
        <v>3</v>
      </c>
      <c r="I25" t="str">
        <f>IF(H25&gt;=4,"yes","no")</f>
        <v>no</v>
      </c>
      <c r="J25" t="str">
        <f>IF(AND(D25&gt;30,H25&gt;=4),"yes","no")</f>
        <v>no</v>
      </c>
      <c r="K25" t="s">
        <v>14</v>
      </c>
      <c r="L25">
        <v>1</v>
      </c>
    </row>
    <row r="26" spans="1:12" x14ac:dyDescent="0.35">
      <c r="A26">
        <v>1538</v>
      </c>
      <c r="B26" t="s">
        <v>555</v>
      </c>
      <c r="C26" t="s">
        <v>16</v>
      </c>
      <c r="D26">
        <v>59</v>
      </c>
      <c r="E26" s="2">
        <v>42542</v>
      </c>
      <c r="F26">
        <v>100717</v>
      </c>
      <c r="G26">
        <f>F26*0.12</f>
        <v>12086.039999999999</v>
      </c>
      <c r="H26">
        <v>5</v>
      </c>
      <c r="I26" t="str">
        <f>IF(H26&gt;=4,"yes","no")</f>
        <v>yes</v>
      </c>
      <c r="J26" t="str">
        <f>IF(AND(D26&gt;30,H26&gt;=4),"yes","no")</f>
        <v>yes</v>
      </c>
      <c r="K26" t="s">
        <v>19</v>
      </c>
      <c r="L26">
        <v>18</v>
      </c>
    </row>
    <row r="27" spans="1:12" x14ac:dyDescent="0.35">
      <c r="A27">
        <v>1305</v>
      </c>
      <c r="B27" t="s">
        <v>322</v>
      </c>
      <c r="C27" t="s">
        <v>16</v>
      </c>
      <c r="D27">
        <v>33</v>
      </c>
      <c r="E27" s="2">
        <v>42309</v>
      </c>
      <c r="F27">
        <v>100418</v>
      </c>
      <c r="G27">
        <f>F27*0.12</f>
        <v>12050.16</v>
      </c>
      <c r="H27">
        <v>5</v>
      </c>
      <c r="I27" t="str">
        <f>IF(H27&gt;=4,"yes","no")</f>
        <v>yes</v>
      </c>
      <c r="J27" t="str">
        <f>IF(AND(D27&gt;30,H27&gt;=4),"yes","no")</f>
        <v>yes</v>
      </c>
      <c r="K27" t="s">
        <v>14</v>
      </c>
      <c r="L27">
        <v>22</v>
      </c>
    </row>
    <row r="28" spans="1:12" x14ac:dyDescent="0.35">
      <c r="A28">
        <v>1460</v>
      </c>
      <c r="B28" t="s">
        <v>477</v>
      </c>
      <c r="C28" t="s">
        <v>16</v>
      </c>
      <c r="D28">
        <v>40</v>
      </c>
      <c r="E28" s="2">
        <v>42464</v>
      </c>
      <c r="F28">
        <v>100304</v>
      </c>
      <c r="G28">
        <f>F28*0.12</f>
        <v>12036.48</v>
      </c>
      <c r="H28">
        <v>5</v>
      </c>
      <c r="I28" t="str">
        <f>IF(H28&gt;=4,"yes","no")</f>
        <v>yes</v>
      </c>
      <c r="J28" t="str">
        <f>IF(AND(D28&gt;30,H28&gt;=4),"yes","no")</f>
        <v>yes</v>
      </c>
      <c r="K28" t="s">
        <v>14</v>
      </c>
      <c r="L28">
        <v>6</v>
      </c>
    </row>
    <row r="29" spans="1:12" x14ac:dyDescent="0.35">
      <c r="A29">
        <v>1037</v>
      </c>
      <c r="B29" t="s">
        <v>54</v>
      </c>
      <c r="C29" t="s">
        <v>16</v>
      </c>
      <c r="D29">
        <v>54</v>
      </c>
      <c r="E29" s="2">
        <v>42041</v>
      </c>
      <c r="F29">
        <v>100186</v>
      </c>
      <c r="G29">
        <f>F29*0.12</f>
        <v>12022.32</v>
      </c>
      <c r="H29">
        <v>5</v>
      </c>
      <c r="I29" t="str">
        <f>IF(H29&gt;=4,"yes","no")</f>
        <v>yes</v>
      </c>
      <c r="J29" t="str">
        <f>IF(AND(D29&gt;30,H29&gt;=4),"yes","no")</f>
        <v>yes</v>
      </c>
      <c r="K29" t="s">
        <v>17</v>
      </c>
      <c r="L29">
        <v>8</v>
      </c>
    </row>
    <row r="30" spans="1:12" x14ac:dyDescent="0.35">
      <c r="A30">
        <v>1124</v>
      </c>
      <c r="B30" t="s">
        <v>141</v>
      </c>
      <c r="C30" t="s">
        <v>16</v>
      </c>
      <c r="D30">
        <v>51</v>
      </c>
      <c r="E30" s="2">
        <v>42128</v>
      </c>
      <c r="F30">
        <v>99859</v>
      </c>
      <c r="G30">
        <f>F30*0.12</f>
        <v>11983.08</v>
      </c>
      <c r="H30">
        <v>4</v>
      </c>
      <c r="I30" t="str">
        <f>IF(H30&gt;=4,"yes","no")</f>
        <v>yes</v>
      </c>
      <c r="J30" t="str">
        <f>IF(AND(D30&gt;30,H30&gt;=4),"yes","no")</f>
        <v>yes</v>
      </c>
      <c r="K30" t="s">
        <v>19</v>
      </c>
      <c r="L30">
        <v>4</v>
      </c>
    </row>
    <row r="31" spans="1:12" x14ac:dyDescent="0.35">
      <c r="A31">
        <v>1434</v>
      </c>
      <c r="B31" t="s">
        <v>451</v>
      </c>
      <c r="C31" t="s">
        <v>16</v>
      </c>
      <c r="D31">
        <v>55</v>
      </c>
      <c r="E31" s="2">
        <v>42438</v>
      </c>
      <c r="F31">
        <v>99744</v>
      </c>
      <c r="G31">
        <f>F31*0.12</f>
        <v>11969.279999999999</v>
      </c>
      <c r="H31">
        <v>1</v>
      </c>
      <c r="I31" t="str">
        <f>IF(H31&gt;=4,"yes","no")</f>
        <v>no</v>
      </c>
      <c r="J31" t="str">
        <f>IF(AND(D31&gt;30,H31&gt;=4),"yes","no")</f>
        <v>no</v>
      </c>
      <c r="K31" t="s">
        <v>17</v>
      </c>
      <c r="L31">
        <v>9</v>
      </c>
    </row>
    <row r="32" spans="1:12" x14ac:dyDescent="0.35">
      <c r="A32">
        <v>1468</v>
      </c>
      <c r="B32" t="s">
        <v>485</v>
      </c>
      <c r="C32" t="s">
        <v>16</v>
      </c>
      <c r="D32">
        <v>39</v>
      </c>
      <c r="E32" s="2">
        <v>42472</v>
      </c>
      <c r="F32">
        <v>99441</v>
      </c>
      <c r="G32">
        <f>F32*0.12</f>
        <v>11932.92</v>
      </c>
      <c r="H32">
        <v>5</v>
      </c>
      <c r="I32" t="str">
        <f>IF(H32&gt;=4,"yes","no")</f>
        <v>yes</v>
      </c>
      <c r="J32" t="str">
        <f>IF(AND(D32&gt;30,H32&gt;=4),"yes","no")</f>
        <v>yes</v>
      </c>
      <c r="K32" t="s">
        <v>19</v>
      </c>
      <c r="L32">
        <v>18</v>
      </c>
    </row>
    <row r="33" spans="1:12" x14ac:dyDescent="0.35">
      <c r="A33">
        <v>1202</v>
      </c>
      <c r="B33" t="s">
        <v>219</v>
      </c>
      <c r="C33" t="s">
        <v>16</v>
      </c>
      <c r="D33">
        <v>49</v>
      </c>
      <c r="E33" s="2">
        <v>42206</v>
      </c>
      <c r="F33">
        <v>97750</v>
      </c>
      <c r="G33">
        <f>F33*0.12</f>
        <v>11730</v>
      </c>
      <c r="H33">
        <v>2</v>
      </c>
      <c r="I33" t="str">
        <f>IF(H33&gt;=4,"yes","no")</f>
        <v>no</v>
      </c>
      <c r="J33" t="str">
        <f>IF(AND(D33&gt;30,H33&gt;=4),"yes","no")</f>
        <v>no</v>
      </c>
      <c r="K33" t="s">
        <v>23</v>
      </c>
      <c r="L33">
        <v>12</v>
      </c>
    </row>
    <row r="34" spans="1:12" x14ac:dyDescent="0.35">
      <c r="A34">
        <v>1245</v>
      </c>
      <c r="B34" t="s">
        <v>262</v>
      </c>
      <c r="C34" t="s">
        <v>16</v>
      </c>
      <c r="D34">
        <v>27</v>
      </c>
      <c r="E34" s="2">
        <v>42249</v>
      </c>
      <c r="F34">
        <v>94669</v>
      </c>
      <c r="G34">
        <f>F34*0.12</f>
        <v>11360.279999999999</v>
      </c>
      <c r="H34">
        <v>2</v>
      </c>
      <c r="I34" t="str">
        <f>IF(H34&gt;=4,"yes","no")</f>
        <v>no</v>
      </c>
      <c r="J34" t="str">
        <f>IF(AND(D34&gt;30,H34&gt;=4),"yes","no")</f>
        <v>no</v>
      </c>
      <c r="K34" t="s">
        <v>11</v>
      </c>
      <c r="L34">
        <v>12</v>
      </c>
    </row>
    <row r="35" spans="1:12" x14ac:dyDescent="0.35">
      <c r="A35">
        <v>1458</v>
      </c>
      <c r="B35" t="s">
        <v>475</v>
      </c>
      <c r="C35" t="s">
        <v>16</v>
      </c>
      <c r="D35">
        <v>51</v>
      </c>
      <c r="E35" s="2">
        <v>42462</v>
      </c>
      <c r="F35">
        <v>94298</v>
      </c>
      <c r="G35">
        <f>F35*0.12</f>
        <v>11315.76</v>
      </c>
      <c r="H35">
        <v>4</v>
      </c>
      <c r="I35" t="str">
        <f>IF(H35&gt;=4,"yes","no")</f>
        <v>yes</v>
      </c>
      <c r="J35" t="str">
        <f>IF(AND(D35&gt;30,H35&gt;=4),"yes","no")</f>
        <v>yes</v>
      </c>
      <c r="K35" t="s">
        <v>14</v>
      </c>
      <c r="L35">
        <v>6</v>
      </c>
    </row>
    <row r="36" spans="1:12" x14ac:dyDescent="0.35">
      <c r="A36">
        <v>1425</v>
      </c>
      <c r="B36" t="s">
        <v>442</v>
      </c>
      <c r="C36" t="s">
        <v>16</v>
      </c>
      <c r="D36">
        <v>56</v>
      </c>
      <c r="E36" s="2">
        <v>42429</v>
      </c>
      <c r="F36">
        <v>93760</v>
      </c>
      <c r="G36">
        <f>F36*0.12</f>
        <v>11251.199999999999</v>
      </c>
      <c r="H36">
        <v>3</v>
      </c>
      <c r="I36" t="str">
        <f>IF(H36&gt;=4,"yes","no")</f>
        <v>no</v>
      </c>
      <c r="J36" t="str">
        <f>IF(AND(D36&gt;30,H36&gt;=4),"yes","no")</f>
        <v>no</v>
      </c>
      <c r="K36" t="s">
        <v>19</v>
      </c>
      <c r="L36">
        <v>18</v>
      </c>
    </row>
    <row r="37" spans="1:12" x14ac:dyDescent="0.35">
      <c r="A37">
        <v>1488</v>
      </c>
      <c r="B37" t="s">
        <v>505</v>
      </c>
      <c r="C37" t="s">
        <v>16</v>
      </c>
      <c r="D37">
        <v>53</v>
      </c>
      <c r="E37" s="2">
        <v>42492</v>
      </c>
      <c r="F37">
        <v>90641</v>
      </c>
      <c r="G37">
        <f>F37*0.12</f>
        <v>10876.92</v>
      </c>
      <c r="H37">
        <v>1</v>
      </c>
      <c r="I37" t="str">
        <f>IF(H37&gt;=4,"yes","no")</f>
        <v>no</v>
      </c>
      <c r="J37" t="str">
        <f>IF(AND(D37&gt;30,H37&gt;=4),"yes","no")</f>
        <v>no</v>
      </c>
      <c r="K37" t="s">
        <v>17</v>
      </c>
      <c r="L37">
        <v>27</v>
      </c>
    </row>
    <row r="38" spans="1:12" x14ac:dyDescent="0.35">
      <c r="A38">
        <v>1271</v>
      </c>
      <c r="B38" t="s">
        <v>288</v>
      </c>
      <c r="C38" t="s">
        <v>16</v>
      </c>
      <c r="D38">
        <v>35</v>
      </c>
      <c r="E38" s="2">
        <v>42275</v>
      </c>
      <c r="F38">
        <v>90082</v>
      </c>
      <c r="G38">
        <f>F38*0.12</f>
        <v>10809.84</v>
      </c>
      <c r="H38">
        <v>2</v>
      </c>
      <c r="I38" t="str">
        <f>IF(H38&gt;=4,"yes","no")</f>
        <v>no</v>
      </c>
      <c r="J38" t="str">
        <f>IF(AND(D38&gt;30,H38&gt;=4),"yes","no")</f>
        <v>no</v>
      </c>
      <c r="K38" t="s">
        <v>17</v>
      </c>
      <c r="L38">
        <v>21</v>
      </c>
    </row>
    <row r="39" spans="1:12" x14ac:dyDescent="0.35">
      <c r="A39">
        <v>1190</v>
      </c>
      <c r="B39" t="s">
        <v>207</v>
      </c>
      <c r="C39" t="s">
        <v>16</v>
      </c>
      <c r="D39">
        <v>23</v>
      </c>
      <c r="E39" s="2">
        <v>42194</v>
      </c>
      <c r="F39">
        <v>89754</v>
      </c>
      <c r="G39">
        <f>F39*0.12</f>
        <v>10770.48</v>
      </c>
      <c r="H39">
        <v>3</v>
      </c>
      <c r="I39" t="str">
        <f>IF(H39&gt;=4,"yes","no")</f>
        <v>no</v>
      </c>
      <c r="J39" t="str">
        <f>IF(AND(D39&gt;30,H39&gt;=4),"yes","no")</f>
        <v>no</v>
      </c>
      <c r="K39" t="s">
        <v>17</v>
      </c>
      <c r="L39">
        <v>9</v>
      </c>
    </row>
    <row r="40" spans="1:12" x14ac:dyDescent="0.35">
      <c r="A40">
        <v>1451</v>
      </c>
      <c r="B40" t="s">
        <v>468</v>
      </c>
      <c r="C40" t="s">
        <v>16</v>
      </c>
      <c r="D40">
        <v>41</v>
      </c>
      <c r="E40" s="2">
        <v>42455</v>
      </c>
      <c r="F40">
        <v>89288</v>
      </c>
      <c r="G40">
        <f>F40*0.12</f>
        <v>10714.56</v>
      </c>
      <c r="H40">
        <v>1</v>
      </c>
      <c r="I40" t="str">
        <f>IF(H40&gt;=4,"yes","no")</f>
        <v>no</v>
      </c>
      <c r="J40" t="str">
        <f>IF(AND(D40&gt;30,H40&gt;=4),"yes","no")</f>
        <v>no</v>
      </c>
      <c r="K40" t="s">
        <v>17</v>
      </c>
      <c r="L40">
        <v>13</v>
      </c>
    </row>
    <row r="41" spans="1:12" x14ac:dyDescent="0.35">
      <c r="A41">
        <v>1206</v>
      </c>
      <c r="B41" t="s">
        <v>223</v>
      </c>
      <c r="C41" t="s">
        <v>16</v>
      </c>
      <c r="D41">
        <v>47</v>
      </c>
      <c r="E41" s="2">
        <v>42210</v>
      </c>
      <c r="F41">
        <v>87483</v>
      </c>
      <c r="G41">
        <f>F41*0.12</f>
        <v>10497.96</v>
      </c>
      <c r="H41">
        <v>4</v>
      </c>
      <c r="I41" t="str">
        <f>IF(H41&gt;=4,"yes","no")</f>
        <v>yes</v>
      </c>
      <c r="J41" t="str">
        <f>IF(AND(D41&gt;30,H41&gt;=4),"yes","no")</f>
        <v>yes</v>
      </c>
      <c r="K41" t="s">
        <v>11</v>
      </c>
      <c r="L41">
        <v>19</v>
      </c>
    </row>
    <row r="42" spans="1:12" x14ac:dyDescent="0.35">
      <c r="A42">
        <v>1223</v>
      </c>
      <c r="B42" t="s">
        <v>240</v>
      </c>
      <c r="C42" t="s">
        <v>16</v>
      </c>
      <c r="D42">
        <v>47</v>
      </c>
      <c r="E42" s="2">
        <v>42227</v>
      </c>
      <c r="F42">
        <v>85504</v>
      </c>
      <c r="G42">
        <f>F42*0.12</f>
        <v>10260.48</v>
      </c>
      <c r="H42">
        <v>2</v>
      </c>
      <c r="I42" t="str">
        <f>IF(H42&gt;=4,"yes","no")</f>
        <v>no</v>
      </c>
      <c r="J42" t="str">
        <f>IF(AND(D42&gt;30,H42&gt;=4),"yes","no")</f>
        <v>no</v>
      </c>
      <c r="K42" t="s">
        <v>11</v>
      </c>
      <c r="L42">
        <v>18</v>
      </c>
    </row>
    <row r="43" spans="1:12" x14ac:dyDescent="0.35">
      <c r="A43">
        <v>1009</v>
      </c>
      <c r="B43" t="s">
        <v>25</v>
      </c>
      <c r="C43" t="s">
        <v>16</v>
      </c>
      <c r="D43">
        <v>36</v>
      </c>
      <c r="E43" s="2">
        <v>42013</v>
      </c>
      <c r="F43">
        <v>84129</v>
      </c>
      <c r="G43">
        <f>F43*0.12</f>
        <v>10095.48</v>
      </c>
      <c r="H43">
        <v>2</v>
      </c>
      <c r="I43" t="str">
        <f>IF(H43&gt;=4,"yes","no")</f>
        <v>no</v>
      </c>
      <c r="J43" t="str">
        <f>IF(AND(D43&gt;30,H43&gt;=4),"yes","no")</f>
        <v>no</v>
      </c>
      <c r="K43" t="s">
        <v>14</v>
      </c>
      <c r="L43">
        <v>22</v>
      </c>
    </row>
    <row r="44" spans="1:12" x14ac:dyDescent="0.35">
      <c r="A44">
        <v>1298</v>
      </c>
      <c r="B44" t="s">
        <v>315</v>
      </c>
      <c r="C44" t="s">
        <v>16</v>
      </c>
      <c r="D44">
        <v>51</v>
      </c>
      <c r="E44" s="2">
        <v>42302</v>
      </c>
      <c r="F44">
        <v>82932</v>
      </c>
      <c r="G44">
        <f>F44*0.12</f>
        <v>9951.84</v>
      </c>
      <c r="H44">
        <v>1</v>
      </c>
      <c r="I44" t="str">
        <f>IF(H44&gt;=4,"yes","no")</f>
        <v>no</v>
      </c>
      <c r="J44" t="str">
        <f>IF(AND(D44&gt;30,H44&gt;=4),"yes","no")</f>
        <v>no</v>
      </c>
      <c r="K44" t="s">
        <v>17</v>
      </c>
      <c r="L44">
        <v>18</v>
      </c>
    </row>
    <row r="45" spans="1:12" x14ac:dyDescent="0.35">
      <c r="A45">
        <v>1114</v>
      </c>
      <c r="B45" t="s">
        <v>131</v>
      </c>
      <c r="C45" t="s">
        <v>16</v>
      </c>
      <c r="D45">
        <v>55</v>
      </c>
      <c r="E45" s="2">
        <v>42118</v>
      </c>
      <c r="F45">
        <v>81846</v>
      </c>
      <c r="G45">
        <f>F45*0.12</f>
        <v>9821.52</v>
      </c>
      <c r="H45">
        <v>1</v>
      </c>
      <c r="I45" t="str">
        <f>IF(H45&gt;=4,"yes","no")</f>
        <v>no</v>
      </c>
      <c r="J45" t="str">
        <f>IF(AND(D45&gt;30,H45&gt;=4),"yes","no")</f>
        <v>no</v>
      </c>
      <c r="K45" t="s">
        <v>23</v>
      </c>
      <c r="L45">
        <v>24</v>
      </c>
    </row>
    <row r="46" spans="1:12" x14ac:dyDescent="0.35">
      <c r="A46">
        <v>1177</v>
      </c>
      <c r="B46" t="s">
        <v>194</v>
      </c>
      <c r="C46" t="s">
        <v>16</v>
      </c>
      <c r="D46">
        <v>47</v>
      </c>
      <c r="E46" s="2">
        <v>42181</v>
      </c>
      <c r="F46">
        <v>81638</v>
      </c>
      <c r="G46">
        <f>F46*0.12</f>
        <v>9796.56</v>
      </c>
      <c r="H46">
        <v>3</v>
      </c>
      <c r="I46" t="str">
        <f>IF(H46&gt;=4,"yes","no")</f>
        <v>no</v>
      </c>
      <c r="J46" t="str">
        <f>IF(AND(D46&gt;30,H46&gt;=4),"yes","no")</f>
        <v>no</v>
      </c>
      <c r="K46" t="s">
        <v>14</v>
      </c>
      <c r="L46">
        <v>18</v>
      </c>
    </row>
    <row r="47" spans="1:12" x14ac:dyDescent="0.35">
      <c r="A47">
        <v>1516</v>
      </c>
      <c r="B47" t="s">
        <v>533</v>
      </c>
      <c r="C47" t="s">
        <v>16</v>
      </c>
      <c r="D47">
        <v>31</v>
      </c>
      <c r="E47" s="2">
        <v>42520</v>
      </c>
      <c r="F47">
        <v>81446</v>
      </c>
      <c r="G47">
        <f>F47*0.12</f>
        <v>9773.52</v>
      </c>
      <c r="H47">
        <v>1</v>
      </c>
      <c r="I47" t="str">
        <f>IF(H47&gt;=4,"yes","no")</f>
        <v>no</v>
      </c>
      <c r="J47" t="str">
        <f>IF(AND(D47&gt;30,H47&gt;=4),"yes","no")</f>
        <v>no</v>
      </c>
      <c r="K47" t="s">
        <v>11</v>
      </c>
      <c r="L47">
        <v>25</v>
      </c>
    </row>
    <row r="48" spans="1:12" x14ac:dyDescent="0.35">
      <c r="A48">
        <v>1161</v>
      </c>
      <c r="B48" t="s">
        <v>178</v>
      </c>
      <c r="C48" t="s">
        <v>16</v>
      </c>
      <c r="D48">
        <v>43</v>
      </c>
      <c r="E48" s="2">
        <v>42165</v>
      </c>
      <c r="F48">
        <v>80619</v>
      </c>
      <c r="G48">
        <f>F48*0.12</f>
        <v>9674.2799999999988</v>
      </c>
      <c r="H48">
        <v>2</v>
      </c>
      <c r="I48" t="str">
        <f>IF(H48&gt;=4,"yes","no")</f>
        <v>no</v>
      </c>
      <c r="J48" t="str">
        <f>IF(AND(D48&gt;30,H48&gt;=4),"yes","no")</f>
        <v>no</v>
      </c>
      <c r="K48" t="s">
        <v>17</v>
      </c>
      <c r="L48">
        <v>4</v>
      </c>
    </row>
    <row r="49" spans="1:12" x14ac:dyDescent="0.35">
      <c r="A49">
        <v>1197</v>
      </c>
      <c r="B49" t="s">
        <v>214</v>
      </c>
      <c r="C49" t="s">
        <v>16</v>
      </c>
      <c r="D49">
        <v>59</v>
      </c>
      <c r="E49" s="2">
        <v>42201</v>
      </c>
      <c r="F49">
        <v>80554</v>
      </c>
      <c r="G49">
        <f>F49*0.12</f>
        <v>9666.48</v>
      </c>
      <c r="H49">
        <v>5</v>
      </c>
      <c r="I49" t="str">
        <f>IF(H49&gt;=4,"yes","no")</f>
        <v>yes</v>
      </c>
      <c r="J49" t="str">
        <f>IF(AND(D49&gt;30,H49&gt;=4),"yes","no")</f>
        <v>yes</v>
      </c>
      <c r="K49" t="s">
        <v>19</v>
      </c>
      <c r="L49">
        <v>17</v>
      </c>
    </row>
    <row r="50" spans="1:12" hidden="1" x14ac:dyDescent="0.35">
      <c r="A50">
        <v>1118</v>
      </c>
      <c r="B50" t="s">
        <v>135</v>
      </c>
      <c r="C50" t="s">
        <v>16</v>
      </c>
      <c r="D50">
        <v>48</v>
      </c>
      <c r="E50" s="2">
        <v>42122</v>
      </c>
      <c r="F50">
        <v>79620</v>
      </c>
      <c r="G50">
        <f>F50*0.12</f>
        <v>9554.4</v>
      </c>
      <c r="H50">
        <v>5</v>
      </c>
      <c r="I50" t="str">
        <f>IF(H50&gt;=4,"yes","no")</f>
        <v>yes</v>
      </c>
      <c r="J50" t="str">
        <f>IF(AND(D50&gt;30,H50&gt;=4),"yes","no")</f>
        <v>yes</v>
      </c>
      <c r="K50" t="s">
        <v>11</v>
      </c>
      <c r="L50">
        <v>0</v>
      </c>
    </row>
    <row r="51" spans="1:12" hidden="1" x14ac:dyDescent="0.35">
      <c r="A51">
        <v>1094</v>
      </c>
      <c r="B51" t="s">
        <v>111</v>
      </c>
      <c r="C51" t="s">
        <v>16</v>
      </c>
      <c r="D51">
        <v>29</v>
      </c>
      <c r="E51" s="2">
        <v>42098</v>
      </c>
      <c r="F51">
        <v>79237</v>
      </c>
      <c r="G51">
        <f>F51*0.12</f>
        <v>9508.44</v>
      </c>
      <c r="H51">
        <v>2</v>
      </c>
      <c r="I51" t="str">
        <f>IF(H51&gt;=4,"yes","no")</f>
        <v>no</v>
      </c>
      <c r="J51" t="str">
        <f>IF(AND(D51&gt;30,H51&gt;=4),"yes","no")</f>
        <v>no</v>
      </c>
      <c r="K51" t="s">
        <v>11</v>
      </c>
      <c r="L51">
        <v>8</v>
      </c>
    </row>
    <row r="52" spans="1:12" hidden="1" x14ac:dyDescent="0.35">
      <c r="A52">
        <v>1279</v>
      </c>
      <c r="B52" t="s">
        <v>296</v>
      </c>
      <c r="C52" t="s">
        <v>16</v>
      </c>
      <c r="D52">
        <v>27</v>
      </c>
      <c r="E52" s="2">
        <v>42283</v>
      </c>
      <c r="F52">
        <v>78947</v>
      </c>
      <c r="G52">
        <f>F52*0.12</f>
        <v>9473.64</v>
      </c>
      <c r="H52">
        <v>1</v>
      </c>
      <c r="I52" t="str">
        <f>IF(H52&gt;=4,"yes","no")</f>
        <v>no</v>
      </c>
      <c r="J52" t="str">
        <f>IF(AND(D52&gt;30,H52&gt;=4),"yes","no")</f>
        <v>no</v>
      </c>
      <c r="K52" t="s">
        <v>14</v>
      </c>
      <c r="L52">
        <v>14</v>
      </c>
    </row>
    <row r="53" spans="1:12" hidden="1" x14ac:dyDescent="0.35">
      <c r="A53">
        <v>1374</v>
      </c>
      <c r="B53" t="s">
        <v>391</v>
      </c>
      <c r="C53" t="s">
        <v>16</v>
      </c>
      <c r="D53">
        <v>25</v>
      </c>
      <c r="E53" s="2">
        <v>42378</v>
      </c>
      <c r="F53">
        <v>77307</v>
      </c>
      <c r="G53">
        <f>F53*0.12</f>
        <v>9276.84</v>
      </c>
      <c r="H53">
        <v>4</v>
      </c>
      <c r="I53" t="str">
        <f>IF(H53&gt;=4,"yes","no")</f>
        <v>yes</v>
      </c>
      <c r="J53" t="str">
        <f>IF(AND(D53&gt;30,H53&gt;=4),"yes","no")</f>
        <v>no</v>
      </c>
      <c r="K53" t="s">
        <v>19</v>
      </c>
      <c r="L53">
        <v>24</v>
      </c>
    </row>
    <row r="54" spans="1:12" hidden="1" x14ac:dyDescent="0.35">
      <c r="A54">
        <v>1241</v>
      </c>
      <c r="B54" t="s">
        <v>258</v>
      </c>
      <c r="C54" t="s">
        <v>16</v>
      </c>
      <c r="D54">
        <v>58</v>
      </c>
      <c r="E54" s="2">
        <v>42245</v>
      </c>
      <c r="F54">
        <v>75106</v>
      </c>
      <c r="G54">
        <f>F54*0.12</f>
        <v>9012.7199999999993</v>
      </c>
      <c r="H54">
        <v>2</v>
      </c>
      <c r="I54" t="str">
        <f>IF(H54&gt;=4,"yes","no")</f>
        <v>no</v>
      </c>
      <c r="J54" t="str">
        <f>IF(AND(D54&gt;30,H54&gt;=4),"yes","no")</f>
        <v>no</v>
      </c>
      <c r="K54" t="s">
        <v>19</v>
      </c>
      <c r="L54">
        <v>27</v>
      </c>
    </row>
    <row r="55" spans="1:12" hidden="1" x14ac:dyDescent="0.35">
      <c r="A55">
        <v>1317</v>
      </c>
      <c r="B55" t="s">
        <v>334</v>
      </c>
      <c r="C55" t="s">
        <v>16</v>
      </c>
      <c r="D55">
        <v>42</v>
      </c>
      <c r="E55" s="2">
        <v>42321</v>
      </c>
      <c r="F55">
        <v>72517</v>
      </c>
      <c r="G55">
        <f>F55*0.12</f>
        <v>8702.0399999999991</v>
      </c>
      <c r="H55">
        <v>2</v>
      </c>
      <c r="I55" t="str">
        <f>IF(H55&gt;=4,"yes","no")</f>
        <v>no</v>
      </c>
      <c r="J55" t="str">
        <f>IF(AND(D55&gt;30,H55&gt;=4),"yes","no")</f>
        <v>no</v>
      </c>
      <c r="K55" t="s">
        <v>14</v>
      </c>
      <c r="L55">
        <v>24</v>
      </c>
    </row>
    <row r="56" spans="1:12" hidden="1" x14ac:dyDescent="0.35">
      <c r="A56">
        <v>1331</v>
      </c>
      <c r="B56" t="s">
        <v>348</v>
      </c>
      <c r="C56" t="s">
        <v>16</v>
      </c>
      <c r="D56">
        <v>54</v>
      </c>
      <c r="E56" s="2">
        <v>42335</v>
      </c>
      <c r="F56">
        <v>70539</v>
      </c>
      <c r="G56">
        <f>F56*0.12</f>
        <v>8464.68</v>
      </c>
      <c r="H56">
        <v>4</v>
      </c>
      <c r="I56" t="str">
        <f>IF(H56&gt;=4,"yes","no")</f>
        <v>yes</v>
      </c>
      <c r="J56" t="str">
        <f>IF(AND(D56&gt;30,H56&gt;=4),"yes","no")</f>
        <v>yes</v>
      </c>
      <c r="K56" t="s">
        <v>17</v>
      </c>
      <c r="L56">
        <v>6</v>
      </c>
    </row>
    <row r="57" spans="1:12" hidden="1" x14ac:dyDescent="0.35">
      <c r="A57">
        <v>1574</v>
      </c>
      <c r="B57" t="s">
        <v>591</v>
      </c>
      <c r="C57" t="s">
        <v>16</v>
      </c>
      <c r="D57">
        <v>59</v>
      </c>
      <c r="E57" s="2">
        <v>42578</v>
      </c>
      <c r="F57">
        <v>70350</v>
      </c>
      <c r="G57">
        <f>F57*0.12</f>
        <v>8442</v>
      </c>
      <c r="H57">
        <v>1</v>
      </c>
      <c r="I57" t="str">
        <f>IF(H57&gt;=4,"yes","no")</f>
        <v>no</v>
      </c>
      <c r="J57" t="str">
        <f>IF(AND(D57&gt;30,H57&gt;=4),"yes","no")</f>
        <v>no</v>
      </c>
      <c r="K57" t="s">
        <v>19</v>
      </c>
      <c r="L57">
        <v>12</v>
      </c>
    </row>
    <row r="58" spans="1:12" hidden="1" x14ac:dyDescent="0.35">
      <c r="A58">
        <v>1570</v>
      </c>
      <c r="B58" t="s">
        <v>587</v>
      </c>
      <c r="C58" t="s">
        <v>16</v>
      </c>
      <c r="D58">
        <v>55</v>
      </c>
      <c r="E58" s="2">
        <v>42574</v>
      </c>
      <c r="F58">
        <v>68585</v>
      </c>
      <c r="G58">
        <f>F58*0.12</f>
        <v>8230.1999999999989</v>
      </c>
      <c r="H58">
        <v>1</v>
      </c>
      <c r="I58" t="str">
        <f>IF(H58&gt;=4,"yes","no")</f>
        <v>no</v>
      </c>
      <c r="J58" t="str">
        <f>IF(AND(D58&gt;30,H58&gt;=4),"yes","no")</f>
        <v>no</v>
      </c>
      <c r="K58" t="s">
        <v>19</v>
      </c>
      <c r="L58">
        <v>22</v>
      </c>
    </row>
    <row r="59" spans="1:12" hidden="1" x14ac:dyDescent="0.35">
      <c r="A59">
        <v>1320</v>
      </c>
      <c r="B59" t="s">
        <v>337</v>
      </c>
      <c r="C59" t="s">
        <v>16</v>
      </c>
      <c r="D59">
        <v>40</v>
      </c>
      <c r="E59" s="2">
        <v>42324</v>
      </c>
      <c r="F59">
        <v>67207</v>
      </c>
      <c r="G59">
        <f>F59*0.12</f>
        <v>8064.84</v>
      </c>
      <c r="H59">
        <v>2</v>
      </c>
      <c r="I59" t="str">
        <f>IF(H59&gt;=4,"yes","no")</f>
        <v>no</v>
      </c>
      <c r="J59" t="str">
        <f>IF(AND(D59&gt;30,H59&gt;=4),"yes","no")</f>
        <v>no</v>
      </c>
      <c r="K59" t="s">
        <v>17</v>
      </c>
      <c r="L59">
        <v>16</v>
      </c>
    </row>
    <row r="60" spans="1:12" hidden="1" x14ac:dyDescent="0.35">
      <c r="A60">
        <v>1250</v>
      </c>
      <c r="B60" t="s">
        <v>267</v>
      </c>
      <c r="C60" t="s">
        <v>16</v>
      </c>
      <c r="D60">
        <v>25</v>
      </c>
      <c r="E60" s="2">
        <v>42254</v>
      </c>
      <c r="F60">
        <v>66873</v>
      </c>
      <c r="G60">
        <f>F60*0.12</f>
        <v>8024.7599999999993</v>
      </c>
      <c r="H60">
        <v>2</v>
      </c>
      <c r="I60" t="str">
        <f>IF(H60&gt;=4,"yes","no")</f>
        <v>no</v>
      </c>
      <c r="J60" t="str">
        <f>IF(AND(D60&gt;30,H60&gt;=4),"yes","no")</f>
        <v>no</v>
      </c>
      <c r="K60" t="s">
        <v>19</v>
      </c>
      <c r="L60">
        <v>18</v>
      </c>
    </row>
    <row r="61" spans="1:12" hidden="1" x14ac:dyDescent="0.35">
      <c r="A61">
        <v>1090</v>
      </c>
      <c r="B61" t="s">
        <v>107</v>
      </c>
      <c r="C61" t="s">
        <v>16</v>
      </c>
      <c r="D61">
        <v>53</v>
      </c>
      <c r="E61" s="2">
        <v>42094</v>
      </c>
      <c r="F61">
        <v>66786</v>
      </c>
      <c r="G61">
        <f>F61*0.12</f>
        <v>8014.32</v>
      </c>
      <c r="H61">
        <v>2</v>
      </c>
      <c r="I61" t="str">
        <f>IF(H61&gt;=4,"yes","no")</f>
        <v>no</v>
      </c>
      <c r="J61" t="str">
        <f>IF(AND(D61&gt;30,H61&gt;=4),"yes","no")</f>
        <v>no</v>
      </c>
      <c r="K61" t="s">
        <v>23</v>
      </c>
      <c r="L61">
        <v>3</v>
      </c>
    </row>
    <row r="62" spans="1:12" hidden="1" x14ac:dyDescent="0.35">
      <c r="A62">
        <v>1254</v>
      </c>
      <c r="B62" t="s">
        <v>271</v>
      </c>
      <c r="C62" t="s">
        <v>16</v>
      </c>
      <c r="D62">
        <v>59</v>
      </c>
      <c r="E62" s="2">
        <v>42258</v>
      </c>
      <c r="F62">
        <v>66755</v>
      </c>
      <c r="G62">
        <f>F62*0.12</f>
        <v>8010.5999999999995</v>
      </c>
      <c r="H62">
        <v>1</v>
      </c>
      <c r="I62" t="str">
        <f>IF(H62&gt;=4,"yes","no")</f>
        <v>no</v>
      </c>
      <c r="J62" t="str">
        <f>IF(AND(D62&gt;30,H62&gt;=4),"yes","no")</f>
        <v>no</v>
      </c>
      <c r="K62" t="s">
        <v>23</v>
      </c>
      <c r="L62">
        <v>27</v>
      </c>
    </row>
    <row r="63" spans="1:12" hidden="1" x14ac:dyDescent="0.35">
      <c r="A63">
        <v>1135</v>
      </c>
      <c r="B63" t="s">
        <v>152</v>
      </c>
      <c r="C63" t="s">
        <v>16</v>
      </c>
      <c r="D63">
        <v>26</v>
      </c>
      <c r="E63" s="2">
        <v>42139</v>
      </c>
      <c r="F63">
        <v>64974</v>
      </c>
      <c r="G63">
        <f>F63*0.12</f>
        <v>7796.88</v>
      </c>
      <c r="H63">
        <v>3</v>
      </c>
      <c r="I63" t="str">
        <f>IF(H63&gt;=4,"yes","no")</f>
        <v>no</v>
      </c>
      <c r="J63" t="str">
        <f>IF(AND(D63&gt;30,H63&gt;=4),"yes","no")</f>
        <v>no</v>
      </c>
      <c r="K63" t="s">
        <v>14</v>
      </c>
      <c r="L63">
        <v>9</v>
      </c>
    </row>
    <row r="64" spans="1:12" hidden="1" x14ac:dyDescent="0.35">
      <c r="A64">
        <v>1401</v>
      </c>
      <c r="B64" t="s">
        <v>418</v>
      </c>
      <c r="C64" t="s">
        <v>16</v>
      </c>
      <c r="D64">
        <v>26</v>
      </c>
      <c r="E64" s="2">
        <v>42405</v>
      </c>
      <c r="F64">
        <v>63158</v>
      </c>
      <c r="G64">
        <f>F64*0.12</f>
        <v>7578.96</v>
      </c>
      <c r="H64">
        <v>5</v>
      </c>
      <c r="I64" t="str">
        <f>IF(H64&gt;=4,"yes","no")</f>
        <v>yes</v>
      </c>
      <c r="J64" t="str">
        <f>IF(AND(D64&gt;30,H64&gt;=4),"yes","no")</f>
        <v>no</v>
      </c>
      <c r="K64" t="s">
        <v>19</v>
      </c>
      <c r="L64">
        <v>0</v>
      </c>
    </row>
    <row r="65" spans="1:12" hidden="1" x14ac:dyDescent="0.35">
      <c r="A65">
        <v>1093</v>
      </c>
      <c r="B65" t="s">
        <v>110</v>
      </c>
      <c r="C65" t="s">
        <v>16</v>
      </c>
      <c r="D65">
        <v>52</v>
      </c>
      <c r="E65" s="2">
        <v>42097</v>
      </c>
      <c r="F65">
        <v>61062</v>
      </c>
      <c r="G65">
        <f>F65*0.12</f>
        <v>7327.44</v>
      </c>
      <c r="H65">
        <v>3</v>
      </c>
      <c r="I65" t="str">
        <f>IF(H65&gt;=4,"yes","no")</f>
        <v>no</v>
      </c>
      <c r="J65" t="str">
        <f>IF(AND(D65&gt;30,H65&gt;=4),"yes","no")</f>
        <v>no</v>
      </c>
      <c r="K65" t="s">
        <v>19</v>
      </c>
      <c r="L65">
        <v>22</v>
      </c>
    </row>
    <row r="66" spans="1:12" hidden="1" x14ac:dyDescent="0.35">
      <c r="A66">
        <v>1160</v>
      </c>
      <c r="B66" t="s">
        <v>177</v>
      </c>
      <c r="C66" t="s">
        <v>16</v>
      </c>
      <c r="D66">
        <v>49</v>
      </c>
      <c r="E66" s="2">
        <v>42164</v>
      </c>
      <c r="F66">
        <v>59801</v>
      </c>
      <c r="G66">
        <f>F66*0.12</f>
        <v>7176.12</v>
      </c>
      <c r="H66">
        <v>2</v>
      </c>
      <c r="I66" t="str">
        <f>IF(H66&gt;=4,"yes","no")</f>
        <v>no</v>
      </c>
      <c r="J66" t="str">
        <f>IF(AND(D66&gt;30,H66&gt;=4),"yes","no")</f>
        <v>no</v>
      </c>
      <c r="K66" t="s">
        <v>23</v>
      </c>
      <c r="L66">
        <v>17</v>
      </c>
    </row>
    <row r="67" spans="1:12" hidden="1" x14ac:dyDescent="0.35">
      <c r="A67">
        <v>1035</v>
      </c>
      <c r="B67" t="s">
        <v>52</v>
      </c>
      <c r="C67" t="s">
        <v>16</v>
      </c>
      <c r="D67">
        <v>38</v>
      </c>
      <c r="E67" s="2">
        <v>42039</v>
      </c>
      <c r="F67">
        <v>59020</v>
      </c>
      <c r="G67">
        <f>F67*0.12</f>
        <v>7082.4</v>
      </c>
      <c r="H67">
        <v>3</v>
      </c>
      <c r="I67" t="str">
        <f>IF(H67&gt;=4,"yes","no")</f>
        <v>no</v>
      </c>
      <c r="J67" t="str">
        <f>IF(AND(D67&gt;30,H67&gt;=4),"yes","no")</f>
        <v>no</v>
      </c>
      <c r="K67" t="s">
        <v>19</v>
      </c>
      <c r="L67">
        <v>1</v>
      </c>
    </row>
    <row r="68" spans="1:12" hidden="1" x14ac:dyDescent="0.35">
      <c r="A68">
        <v>1026</v>
      </c>
      <c r="B68" t="s">
        <v>43</v>
      </c>
      <c r="C68" t="s">
        <v>16</v>
      </c>
      <c r="D68">
        <v>49</v>
      </c>
      <c r="E68" s="2">
        <v>42030</v>
      </c>
      <c r="F68">
        <v>59008</v>
      </c>
      <c r="G68">
        <f>F68*0.12</f>
        <v>7080.96</v>
      </c>
      <c r="H68">
        <v>5</v>
      </c>
      <c r="I68" t="str">
        <f>IF(H68&gt;=4,"yes","no")</f>
        <v>yes</v>
      </c>
      <c r="J68" t="str">
        <f>IF(AND(D68&gt;30,H68&gt;=4),"yes","no")</f>
        <v>yes</v>
      </c>
      <c r="K68" t="s">
        <v>14</v>
      </c>
      <c r="L68">
        <v>19</v>
      </c>
    </row>
    <row r="69" spans="1:12" hidden="1" x14ac:dyDescent="0.35">
      <c r="A69">
        <v>1244</v>
      </c>
      <c r="B69" t="s">
        <v>261</v>
      </c>
      <c r="C69" t="s">
        <v>16</v>
      </c>
      <c r="D69">
        <v>52</v>
      </c>
      <c r="E69" s="2">
        <v>42248</v>
      </c>
      <c r="F69">
        <v>58742</v>
      </c>
      <c r="G69">
        <f>F69*0.12</f>
        <v>7049.04</v>
      </c>
      <c r="H69">
        <v>4</v>
      </c>
      <c r="I69" t="str">
        <f>IF(H69&gt;=4,"yes","no")</f>
        <v>yes</v>
      </c>
      <c r="J69" t="str">
        <f>IF(AND(D69&gt;30,H69&gt;=4),"yes","no")</f>
        <v>yes</v>
      </c>
      <c r="K69" t="s">
        <v>11</v>
      </c>
      <c r="L69">
        <v>2</v>
      </c>
    </row>
    <row r="70" spans="1:12" hidden="1" x14ac:dyDescent="0.35">
      <c r="A70">
        <v>1012</v>
      </c>
      <c r="B70" t="s">
        <v>28</v>
      </c>
      <c r="C70" t="s">
        <v>16</v>
      </c>
      <c r="D70">
        <v>24</v>
      </c>
      <c r="E70" s="2">
        <v>42016</v>
      </c>
      <c r="F70">
        <v>56987</v>
      </c>
      <c r="G70">
        <f>F70*0.12</f>
        <v>6838.44</v>
      </c>
      <c r="H70">
        <v>5</v>
      </c>
      <c r="I70" t="str">
        <f>IF(H70&gt;=4,"yes","no")</f>
        <v>yes</v>
      </c>
      <c r="J70" t="str">
        <f>IF(AND(D70&gt;30,H70&gt;=4),"yes","no")</f>
        <v>no</v>
      </c>
      <c r="K70" t="s">
        <v>11</v>
      </c>
      <c r="L70">
        <v>19</v>
      </c>
    </row>
    <row r="71" spans="1:12" hidden="1" x14ac:dyDescent="0.35">
      <c r="A71">
        <v>1567</v>
      </c>
      <c r="B71" t="s">
        <v>584</v>
      </c>
      <c r="C71" t="s">
        <v>16</v>
      </c>
      <c r="D71">
        <v>42</v>
      </c>
      <c r="E71" s="2">
        <v>42571</v>
      </c>
      <c r="F71">
        <v>56585</v>
      </c>
      <c r="G71">
        <f>F71*0.12</f>
        <v>6790.2</v>
      </c>
      <c r="H71">
        <v>2</v>
      </c>
      <c r="I71" t="str">
        <f>IF(H71&gt;=4,"yes","no")</f>
        <v>no</v>
      </c>
      <c r="J71" t="str">
        <f>IF(AND(D71&gt;30,H71&gt;=4),"yes","no")</f>
        <v>no</v>
      </c>
      <c r="K71" t="s">
        <v>19</v>
      </c>
      <c r="L71">
        <v>22</v>
      </c>
    </row>
    <row r="72" spans="1:12" hidden="1" x14ac:dyDescent="0.35">
      <c r="A72">
        <v>1312</v>
      </c>
      <c r="B72" t="s">
        <v>329</v>
      </c>
      <c r="C72" t="s">
        <v>16</v>
      </c>
      <c r="D72">
        <v>32</v>
      </c>
      <c r="E72" s="2">
        <v>42316</v>
      </c>
      <c r="F72">
        <v>56575</v>
      </c>
      <c r="G72">
        <f>F72*0.12</f>
        <v>6789</v>
      </c>
      <c r="H72">
        <v>2</v>
      </c>
      <c r="I72" t="str">
        <f>IF(H72&gt;=4,"yes","no")</f>
        <v>no</v>
      </c>
      <c r="J72" t="str">
        <f>IF(AND(D72&gt;30,H72&gt;=4),"yes","no")</f>
        <v>no</v>
      </c>
      <c r="K72" t="s">
        <v>11</v>
      </c>
      <c r="L72">
        <v>23</v>
      </c>
    </row>
    <row r="73" spans="1:12" hidden="1" x14ac:dyDescent="0.35">
      <c r="A73">
        <v>1208</v>
      </c>
      <c r="B73" t="s">
        <v>225</v>
      </c>
      <c r="C73" t="s">
        <v>16</v>
      </c>
      <c r="D73">
        <v>38</v>
      </c>
      <c r="E73" s="2">
        <v>42212</v>
      </c>
      <c r="F73">
        <v>55448</v>
      </c>
      <c r="G73">
        <f>F73*0.12</f>
        <v>6653.7599999999993</v>
      </c>
      <c r="H73">
        <v>1</v>
      </c>
      <c r="I73" t="str">
        <f>IF(H73&gt;=4,"yes","no")</f>
        <v>no</v>
      </c>
      <c r="J73" t="str">
        <f>IF(AND(D73&gt;30,H73&gt;=4),"yes","no")</f>
        <v>no</v>
      </c>
      <c r="K73" t="s">
        <v>23</v>
      </c>
      <c r="L73">
        <v>12</v>
      </c>
    </row>
    <row r="74" spans="1:12" hidden="1" x14ac:dyDescent="0.35">
      <c r="A74">
        <v>1551</v>
      </c>
      <c r="B74" t="s">
        <v>568</v>
      </c>
      <c r="C74" t="s">
        <v>16</v>
      </c>
      <c r="D74">
        <v>38</v>
      </c>
      <c r="E74" s="2">
        <v>42555</v>
      </c>
      <c r="F74">
        <v>55027</v>
      </c>
      <c r="G74">
        <f>F74*0.12</f>
        <v>6603.24</v>
      </c>
      <c r="H74">
        <v>4</v>
      </c>
      <c r="I74" t="str">
        <f>IF(H74&gt;=4,"yes","no")</f>
        <v>yes</v>
      </c>
      <c r="J74" t="str">
        <f>IF(AND(D74&gt;30,H74&gt;=4),"yes","no")</f>
        <v>yes</v>
      </c>
      <c r="K74" t="s">
        <v>17</v>
      </c>
      <c r="L74">
        <v>5</v>
      </c>
    </row>
    <row r="75" spans="1:12" hidden="1" x14ac:dyDescent="0.35">
      <c r="A75">
        <v>1443</v>
      </c>
      <c r="B75" t="s">
        <v>460</v>
      </c>
      <c r="C75" t="s">
        <v>16</v>
      </c>
      <c r="D75">
        <v>50</v>
      </c>
      <c r="E75" s="2">
        <v>42447</v>
      </c>
      <c r="F75">
        <v>55015</v>
      </c>
      <c r="G75">
        <f>F75*0.12</f>
        <v>6601.8</v>
      </c>
      <c r="H75">
        <v>5</v>
      </c>
      <c r="I75" t="str">
        <f>IF(H75&gt;=4,"yes","no")</f>
        <v>yes</v>
      </c>
      <c r="J75" t="str">
        <f>IF(AND(D75&gt;30,H75&gt;=4),"yes","no")</f>
        <v>yes</v>
      </c>
      <c r="K75" t="s">
        <v>19</v>
      </c>
      <c r="L75">
        <v>23</v>
      </c>
    </row>
    <row r="76" spans="1:12" hidden="1" x14ac:dyDescent="0.35">
      <c r="A76">
        <v>1444</v>
      </c>
      <c r="B76" t="s">
        <v>461</v>
      </c>
      <c r="C76" t="s">
        <v>16</v>
      </c>
      <c r="D76">
        <v>43</v>
      </c>
      <c r="E76" s="2">
        <v>42448</v>
      </c>
      <c r="F76">
        <v>54009</v>
      </c>
      <c r="G76">
        <f>F76*0.12</f>
        <v>6481.08</v>
      </c>
      <c r="H76">
        <v>1</v>
      </c>
      <c r="I76" t="str">
        <f>IF(H76&gt;=4,"yes","no")</f>
        <v>no</v>
      </c>
      <c r="J76" t="str">
        <f>IF(AND(D76&gt;30,H76&gt;=4),"yes","no")</f>
        <v>no</v>
      </c>
      <c r="K76" t="s">
        <v>19</v>
      </c>
      <c r="L76">
        <v>14</v>
      </c>
    </row>
    <row r="77" spans="1:12" hidden="1" x14ac:dyDescent="0.35">
      <c r="A77">
        <v>1216</v>
      </c>
      <c r="B77" t="s">
        <v>233</v>
      </c>
      <c r="C77" t="s">
        <v>16</v>
      </c>
      <c r="D77">
        <v>57</v>
      </c>
      <c r="E77" s="2">
        <v>42220</v>
      </c>
      <c r="F77">
        <v>53831</v>
      </c>
      <c r="G77">
        <f>F77*0.12</f>
        <v>6459.7199999999993</v>
      </c>
      <c r="H77">
        <v>2</v>
      </c>
      <c r="I77" t="str">
        <f>IF(H77&gt;=4,"yes","no")</f>
        <v>no</v>
      </c>
      <c r="J77" t="str">
        <f>IF(AND(D77&gt;30,H77&gt;=4),"yes","no")</f>
        <v>no</v>
      </c>
      <c r="K77" t="s">
        <v>23</v>
      </c>
      <c r="L77">
        <v>12</v>
      </c>
    </row>
    <row r="78" spans="1:12" hidden="1" x14ac:dyDescent="0.35">
      <c r="A78">
        <v>1131</v>
      </c>
      <c r="B78" t="s">
        <v>148</v>
      </c>
      <c r="C78" t="s">
        <v>16</v>
      </c>
      <c r="D78">
        <v>31</v>
      </c>
      <c r="E78" s="2">
        <v>42135</v>
      </c>
      <c r="F78">
        <v>52788</v>
      </c>
      <c r="G78">
        <f>F78*0.12</f>
        <v>6334.5599999999995</v>
      </c>
      <c r="H78">
        <v>5</v>
      </c>
      <c r="I78" t="str">
        <f>IF(H78&gt;=4,"yes","no")</f>
        <v>yes</v>
      </c>
      <c r="J78" t="str">
        <f>IF(AND(D78&gt;30,H78&gt;=4),"yes","no")</f>
        <v>yes</v>
      </c>
      <c r="K78" t="s">
        <v>11</v>
      </c>
      <c r="L78">
        <v>14</v>
      </c>
    </row>
    <row r="79" spans="1:12" hidden="1" x14ac:dyDescent="0.35">
      <c r="A79">
        <v>1475</v>
      </c>
      <c r="B79" t="s">
        <v>492</v>
      </c>
      <c r="C79" t="s">
        <v>16</v>
      </c>
      <c r="D79">
        <v>25</v>
      </c>
      <c r="E79" s="2">
        <v>42479</v>
      </c>
      <c r="F79">
        <v>52424</v>
      </c>
      <c r="G79">
        <f>F79*0.12</f>
        <v>6290.88</v>
      </c>
      <c r="H79">
        <v>5</v>
      </c>
      <c r="I79" t="str">
        <f>IF(H79&gt;=4,"yes","no")</f>
        <v>yes</v>
      </c>
      <c r="J79" t="str">
        <f>IF(AND(D79&gt;30,H79&gt;=4),"yes","no")</f>
        <v>no</v>
      </c>
      <c r="K79" t="s">
        <v>17</v>
      </c>
      <c r="L79">
        <v>22</v>
      </c>
    </row>
    <row r="80" spans="1:12" hidden="1" x14ac:dyDescent="0.35">
      <c r="A80">
        <v>1196</v>
      </c>
      <c r="B80" t="s">
        <v>213</v>
      </c>
      <c r="C80" t="s">
        <v>16</v>
      </c>
      <c r="D80">
        <v>39</v>
      </c>
      <c r="E80" s="2">
        <v>42200</v>
      </c>
      <c r="F80">
        <v>52376</v>
      </c>
      <c r="G80">
        <f>F80*0.12</f>
        <v>6285.12</v>
      </c>
      <c r="H80">
        <v>3</v>
      </c>
      <c r="I80" t="str">
        <f>IF(H80&gt;=4,"yes","no")</f>
        <v>no</v>
      </c>
      <c r="J80" t="str">
        <f>IF(AND(D80&gt;30,H80&gt;=4),"yes","no")</f>
        <v>no</v>
      </c>
      <c r="K80" t="s">
        <v>14</v>
      </c>
      <c r="L80">
        <v>3</v>
      </c>
    </row>
    <row r="81" spans="1:12" hidden="1" x14ac:dyDescent="0.35">
      <c r="A81">
        <v>1356</v>
      </c>
      <c r="B81" t="s">
        <v>373</v>
      </c>
      <c r="C81" t="s">
        <v>16</v>
      </c>
      <c r="D81">
        <v>54</v>
      </c>
      <c r="E81" s="2">
        <v>42360</v>
      </c>
      <c r="F81">
        <v>52082</v>
      </c>
      <c r="G81">
        <f>F81*0.12</f>
        <v>6249.84</v>
      </c>
      <c r="H81">
        <v>5</v>
      </c>
      <c r="I81" t="str">
        <f>IF(H81&gt;=4,"yes","no")</f>
        <v>yes</v>
      </c>
      <c r="J81" t="str">
        <f>IF(AND(D81&gt;30,H81&gt;=4),"yes","no")</f>
        <v>yes</v>
      </c>
      <c r="K81" t="s">
        <v>23</v>
      </c>
      <c r="L81">
        <v>21</v>
      </c>
    </row>
    <row r="82" spans="1:12" hidden="1" x14ac:dyDescent="0.35">
      <c r="A82">
        <v>1275</v>
      </c>
      <c r="B82" t="s">
        <v>292</v>
      </c>
      <c r="C82" t="s">
        <v>16</v>
      </c>
      <c r="D82">
        <v>57</v>
      </c>
      <c r="E82" s="2">
        <v>42279</v>
      </c>
      <c r="F82">
        <v>51292</v>
      </c>
      <c r="G82">
        <f>F82*0.12</f>
        <v>6155.04</v>
      </c>
      <c r="H82">
        <v>3</v>
      </c>
      <c r="I82" t="str">
        <f>IF(H82&gt;=4,"yes","no")</f>
        <v>no</v>
      </c>
      <c r="J82" t="str">
        <f>IF(AND(D82&gt;30,H82&gt;=4),"yes","no")</f>
        <v>no</v>
      </c>
      <c r="K82" t="s">
        <v>23</v>
      </c>
      <c r="L82">
        <v>1</v>
      </c>
    </row>
    <row r="83" spans="1:12" hidden="1" x14ac:dyDescent="0.35">
      <c r="A83">
        <v>1447</v>
      </c>
      <c r="B83" t="s">
        <v>464</v>
      </c>
      <c r="C83" t="s">
        <v>16</v>
      </c>
      <c r="D83">
        <v>42</v>
      </c>
      <c r="E83" s="2">
        <v>42451</v>
      </c>
      <c r="F83">
        <v>51143</v>
      </c>
      <c r="G83">
        <f>F83*0.12</f>
        <v>6137.16</v>
      </c>
      <c r="H83">
        <v>4</v>
      </c>
      <c r="I83" t="str">
        <f>IF(H83&gt;=4,"yes","no")</f>
        <v>yes</v>
      </c>
      <c r="J83" t="str">
        <f>IF(AND(D83&gt;30,H83&gt;=4),"yes","no")</f>
        <v>yes</v>
      </c>
      <c r="K83" t="s">
        <v>17</v>
      </c>
      <c r="L83">
        <v>6</v>
      </c>
    </row>
    <row r="84" spans="1:12" hidden="1" x14ac:dyDescent="0.35">
      <c r="A84">
        <v>1504</v>
      </c>
      <c r="B84" t="s">
        <v>521</v>
      </c>
      <c r="C84" t="s">
        <v>16</v>
      </c>
      <c r="D84">
        <v>53</v>
      </c>
      <c r="E84" s="2">
        <v>42508</v>
      </c>
      <c r="F84">
        <v>50683</v>
      </c>
      <c r="G84">
        <f>F84*0.12</f>
        <v>6081.96</v>
      </c>
      <c r="H84">
        <v>5</v>
      </c>
      <c r="I84" t="str">
        <f>IF(H84&gt;=4,"yes","no")</f>
        <v>yes</v>
      </c>
      <c r="J84" t="str">
        <f>IF(AND(D84&gt;30,H84&gt;=4),"yes","no")</f>
        <v>yes</v>
      </c>
      <c r="K84" t="s">
        <v>14</v>
      </c>
      <c r="L84">
        <v>13</v>
      </c>
    </row>
    <row r="85" spans="1:12" hidden="1" x14ac:dyDescent="0.35">
      <c r="A85">
        <v>1096</v>
      </c>
      <c r="B85" t="s">
        <v>113</v>
      </c>
      <c r="C85" t="s">
        <v>16</v>
      </c>
      <c r="D85">
        <v>55</v>
      </c>
      <c r="E85" s="2">
        <v>42100</v>
      </c>
      <c r="F85">
        <v>50510</v>
      </c>
      <c r="G85">
        <f>F85*0.12</f>
        <v>6061.2</v>
      </c>
      <c r="H85">
        <v>2</v>
      </c>
      <c r="I85" t="str">
        <f>IF(H85&gt;=4,"yes","no")</f>
        <v>no</v>
      </c>
      <c r="J85" t="str">
        <f>IF(AND(D85&gt;30,H85&gt;=4),"yes","no")</f>
        <v>no</v>
      </c>
      <c r="K85" t="s">
        <v>19</v>
      </c>
      <c r="L85">
        <v>5</v>
      </c>
    </row>
    <row r="86" spans="1:12" hidden="1" x14ac:dyDescent="0.35">
      <c r="A86">
        <v>1213</v>
      </c>
      <c r="B86" t="s">
        <v>230</v>
      </c>
      <c r="C86" t="s">
        <v>16</v>
      </c>
      <c r="D86">
        <v>31</v>
      </c>
      <c r="E86" s="2">
        <v>42217</v>
      </c>
      <c r="F86">
        <v>50425</v>
      </c>
      <c r="G86">
        <f>F86*0.12</f>
        <v>6051</v>
      </c>
      <c r="H86">
        <v>1</v>
      </c>
      <c r="I86" t="str">
        <f>IF(H86&gt;=4,"yes","no")</f>
        <v>no</v>
      </c>
      <c r="J86" t="str">
        <f>IF(AND(D86&gt;30,H86&gt;=4),"yes","no")</f>
        <v>no</v>
      </c>
      <c r="K86" t="s">
        <v>14</v>
      </c>
      <c r="L86">
        <v>4</v>
      </c>
    </row>
    <row r="87" spans="1:12" hidden="1" x14ac:dyDescent="0.35">
      <c r="A87">
        <v>1343</v>
      </c>
      <c r="B87" t="s">
        <v>360</v>
      </c>
      <c r="C87" t="s">
        <v>16</v>
      </c>
      <c r="D87">
        <v>28</v>
      </c>
      <c r="E87" s="2">
        <v>42347</v>
      </c>
      <c r="F87">
        <v>49860</v>
      </c>
      <c r="G87">
        <f>F87*0.12</f>
        <v>5983.2</v>
      </c>
      <c r="H87">
        <v>2</v>
      </c>
      <c r="I87" t="str">
        <f>IF(H87&gt;=4,"yes","no")</f>
        <v>no</v>
      </c>
      <c r="J87" t="str">
        <f>IF(AND(D87&gt;30,H87&gt;=4),"yes","no")</f>
        <v>no</v>
      </c>
      <c r="K87" t="s">
        <v>23</v>
      </c>
      <c r="L87">
        <v>7</v>
      </c>
    </row>
    <row r="88" spans="1:12" hidden="1" x14ac:dyDescent="0.35">
      <c r="A88">
        <v>1215</v>
      </c>
      <c r="B88" t="s">
        <v>232</v>
      </c>
      <c r="C88" t="s">
        <v>16</v>
      </c>
      <c r="D88">
        <v>39</v>
      </c>
      <c r="E88" s="2">
        <v>42219</v>
      </c>
      <c r="F88">
        <v>49578</v>
      </c>
      <c r="G88">
        <f>F88*0.12</f>
        <v>5949.36</v>
      </c>
      <c r="H88">
        <v>5</v>
      </c>
      <c r="I88" t="str">
        <f>IF(H88&gt;=4,"yes","no")</f>
        <v>yes</v>
      </c>
      <c r="J88" t="str">
        <f>IF(AND(D88&gt;30,H88&gt;=4),"yes","no")</f>
        <v>yes</v>
      </c>
      <c r="K88" t="s">
        <v>23</v>
      </c>
      <c r="L88">
        <v>16</v>
      </c>
    </row>
    <row r="89" spans="1:12" hidden="1" x14ac:dyDescent="0.35">
      <c r="A89">
        <v>1182</v>
      </c>
      <c r="B89" t="s">
        <v>199</v>
      </c>
      <c r="C89" t="s">
        <v>16</v>
      </c>
      <c r="D89">
        <v>36</v>
      </c>
      <c r="E89" s="2">
        <v>42186</v>
      </c>
      <c r="F89">
        <v>49262</v>
      </c>
      <c r="G89">
        <f>F89*0.12</f>
        <v>5911.44</v>
      </c>
      <c r="H89">
        <v>4</v>
      </c>
      <c r="I89" t="str">
        <f>IF(H89&gt;=4,"yes","no")</f>
        <v>yes</v>
      </c>
      <c r="J89" t="str">
        <f>IF(AND(D89&gt;30,H89&gt;=4),"yes","no")</f>
        <v>yes</v>
      </c>
      <c r="K89" t="s">
        <v>19</v>
      </c>
      <c r="L89">
        <v>14</v>
      </c>
    </row>
    <row r="90" spans="1:12" hidden="1" x14ac:dyDescent="0.35">
      <c r="A90">
        <v>1229</v>
      </c>
      <c r="B90" t="s">
        <v>246</v>
      </c>
      <c r="C90" t="s">
        <v>16</v>
      </c>
      <c r="D90">
        <v>42</v>
      </c>
      <c r="E90" s="2">
        <v>42233</v>
      </c>
      <c r="F90">
        <v>48874</v>
      </c>
      <c r="G90">
        <f>F90*0.12</f>
        <v>5864.88</v>
      </c>
      <c r="H90">
        <v>2</v>
      </c>
      <c r="I90" t="str">
        <f>IF(H90&gt;=4,"yes","no")</f>
        <v>no</v>
      </c>
      <c r="J90" t="str">
        <f>IF(AND(D90&gt;30,H90&gt;=4),"yes","no")</f>
        <v>no</v>
      </c>
      <c r="K90" t="s">
        <v>17</v>
      </c>
      <c r="L90">
        <v>25</v>
      </c>
    </row>
    <row r="91" spans="1:12" hidden="1" x14ac:dyDescent="0.35">
      <c r="A91">
        <v>1003</v>
      </c>
      <c r="B91" t="s">
        <v>15</v>
      </c>
      <c r="C91" t="s">
        <v>16</v>
      </c>
      <c r="D91">
        <v>57</v>
      </c>
      <c r="E91" s="2">
        <v>42007</v>
      </c>
      <c r="F91">
        <v>48150</v>
      </c>
      <c r="G91">
        <f>F91*0.12</f>
        <v>5778</v>
      </c>
      <c r="H91">
        <v>2</v>
      </c>
      <c r="I91" t="str">
        <f>IF(H91&gt;=4,"yes","no")</f>
        <v>no</v>
      </c>
      <c r="J91" t="str">
        <f>IF(AND(D91&gt;30,H91&gt;=4),"yes","no")</f>
        <v>no</v>
      </c>
      <c r="K91" t="s">
        <v>17</v>
      </c>
      <c r="L91">
        <v>26</v>
      </c>
    </row>
    <row r="92" spans="1:12" hidden="1" x14ac:dyDescent="0.35">
      <c r="A92">
        <v>1291</v>
      </c>
      <c r="B92" t="s">
        <v>308</v>
      </c>
      <c r="C92" t="s">
        <v>16</v>
      </c>
      <c r="D92">
        <v>38</v>
      </c>
      <c r="E92" s="2">
        <v>42295</v>
      </c>
      <c r="F92">
        <v>47890</v>
      </c>
      <c r="G92">
        <f>F92*0.12</f>
        <v>5746.8</v>
      </c>
      <c r="H92">
        <v>3</v>
      </c>
      <c r="I92" t="str">
        <f>IF(H92&gt;=4,"yes","no")</f>
        <v>no</v>
      </c>
      <c r="J92" t="str">
        <f>IF(AND(D92&gt;30,H92&gt;=4),"yes","no")</f>
        <v>no</v>
      </c>
      <c r="K92" t="s">
        <v>14</v>
      </c>
      <c r="L92">
        <v>8</v>
      </c>
    </row>
    <row r="93" spans="1:12" hidden="1" x14ac:dyDescent="0.35">
      <c r="A93">
        <v>1280</v>
      </c>
      <c r="B93" t="s">
        <v>297</v>
      </c>
      <c r="C93" t="s">
        <v>16</v>
      </c>
      <c r="D93">
        <v>31</v>
      </c>
      <c r="E93" s="2">
        <v>42284</v>
      </c>
      <c r="F93">
        <v>47534</v>
      </c>
      <c r="G93">
        <f>F93*0.12</f>
        <v>5704.08</v>
      </c>
      <c r="H93">
        <v>3</v>
      </c>
      <c r="I93" t="str">
        <f>IF(H93&gt;=4,"yes","no")</f>
        <v>no</v>
      </c>
      <c r="J93" t="str">
        <f>IF(AND(D93&gt;30,H93&gt;=4),"yes","no")</f>
        <v>no</v>
      </c>
      <c r="K93" t="s">
        <v>14</v>
      </c>
      <c r="L93">
        <v>11</v>
      </c>
    </row>
    <row r="94" spans="1:12" hidden="1" x14ac:dyDescent="0.35">
      <c r="A94">
        <v>1008</v>
      </c>
      <c r="B94" t="s">
        <v>24</v>
      </c>
      <c r="C94" t="s">
        <v>16</v>
      </c>
      <c r="D94">
        <v>35</v>
      </c>
      <c r="E94" s="2">
        <v>42012</v>
      </c>
      <c r="F94">
        <v>46792</v>
      </c>
      <c r="G94">
        <f>F94*0.12</f>
        <v>5615.04</v>
      </c>
      <c r="H94">
        <v>4</v>
      </c>
      <c r="I94" t="str">
        <f>IF(H94&gt;=4,"yes","no")</f>
        <v>yes</v>
      </c>
      <c r="J94" t="str">
        <f>IF(AND(D94&gt;30,H94&gt;=4),"yes","no")</f>
        <v>yes</v>
      </c>
      <c r="K94" t="s">
        <v>19</v>
      </c>
      <c r="L94">
        <v>14</v>
      </c>
    </row>
    <row r="95" spans="1:12" hidden="1" x14ac:dyDescent="0.35">
      <c r="A95">
        <v>1110</v>
      </c>
      <c r="B95" t="s">
        <v>127</v>
      </c>
      <c r="C95" t="s">
        <v>16</v>
      </c>
      <c r="D95">
        <v>32</v>
      </c>
      <c r="E95" s="2">
        <v>42114</v>
      </c>
      <c r="F95">
        <v>45662</v>
      </c>
      <c r="G95">
        <f>F95*0.12</f>
        <v>5479.44</v>
      </c>
      <c r="H95">
        <v>2</v>
      </c>
      <c r="I95" t="str">
        <f>IF(H95&gt;=4,"yes","no")</f>
        <v>no</v>
      </c>
      <c r="J95" t="str">
        <f>IF(AND(D95&gt;30,H95&gt;=4),"yes","no")</f>
        <v>no</v>
      </c>
      <c r="K95" t="s">
        <v>19</v>
      </c>
      <c r="L95">
        <v>10</v>
      </c>
    </row>
    <row r="96" spans="1:12" hidden="1" x14ac:dyDescent="0.35">
      <c r="A96">
        <v>1537</v>
      </c>
      <c r="B96" t="s">
        <v>554</v>
      </c>
      <c r="C96" t="s">
        <v>16</v>
      </c>
      <c r="D96">
        <v>58</v>
      </c>
      <c r="E96" s="2">
        <v>42541</v>
      </c>
      <c r="F96">
        <v>45049</v>
      </c>
      <c r="G96">
        <f>F96*0.12</f>
        <v>5405.88</v>
      </c>
      <c r="H96">
        <v>1</v>
      </c>
      <c r="I96" t="str">
        <f>IF(H96&gt;=4,"yes","no")</f>
        <v>no</v>
      </c>
      <c r="J96" t="str">
        <f>IF(AND(D96&gt;30,H96&gt;=4),"yes","no")</f>
        <v>no</v>
      </c>
      <c r="K96" t="s">
        <v>23</v>
      </c>
      <c r="L96">
        <v>10</v>
      </c>
    </row>
    <row r="97" spans="1:12" hidden="1" x14ac:dyDescent="0.35">
      <c r="A97">
        <v>1585</v>
      </c>
      <c r="B97" t="s">
        <v>602</v>
      </c>
      <c r="C97" t="s">
        <v>16</v>
      </c>
      <c r="D97">
        <v>28</v>
      </c>
      <c r="E97" s="2">
        <v>42589</v>
      </c>
      <c r="F97">
        <v>44975</v>
      </c>
      <c r="G97">
        <f>F97*0.12</f>
        <v>5397</v>
      </c>
      <c r="H97">
        <v>5</v>
      </c>
      <c r="I97" t="str">
        <f>IF(H97&gt;=4,"yes","no")</f>
        <v>yes</v>
      </c>
      <c r="J97" t="str">
        <f>IF(AND(D97&gt;30,H97&gt;=4),"yes","no")</f>
        <v>no</v>
      </c>
      <c r="K97" t="s">
        <v>11</v>
      </c>
      <c r="L97">
        <v>8</v>
      </c>
    </row>
    <row r="98" spans="1:12" hidden="1" x14ac:dyDescent="0.35">
      <c r="A98">
        <v>1136</v>
      </c>
      <c r="B98" t="s">
        <v>153</v>
      </c>
      <c r="C98" t="s">
        <v>16</v>
      </c>
      <c r="D98">
        <v>55</v>
      </c>
      <c r="E98" s="2">
        <v>42140</v>
      </c>
      <c r="F98">
        <v>41371</v>
      </c>
      <c r="G98">
        <f>F98*0.12</f>
        <v>4964.5199999999995</v>
      </c>
      <c r="H98">
        <v>1</v>
      </c>
      <c r="I98" t="str">
        <f>IF(H98&gt;=4,"yes","no")</f>
        <v>no</v>
      </c>
      <c r="J98" t="str">
        <f>IF(AND(D98&gt;30,H98&gt;=4),"yes","no")</f>
        <v>no</v>
      </c>
      <c r="K98" t="s">
        <v>17</v>
      </c>
      <c r="L98">
        <v>27</v>
      </c>
    </row>
    <row r="99" spans="1:12" hidden="1" x14ac:dyDescent="0.35">
      <c r="A99">
        <v>1505</v>
      </c>
      <c r="B99" t="s">
        <v>522</v>
      </c>
      <c r="C99" t="s">
        <v>16</v>
      </c>
      <c r="D99">
        <v>45</v>
      </c>
      <c r="E99" s="2">
        <v>42509</v>
      </c>
      <c r="F99">
        <v>38629</v>
      </c>
      <c r="G99">
        <f>F99*0.12</f>
        <v>4635.4799999999996</v>
      </c>
      <c r="H99">
        <v>4</v>
      </c>
      <c r="I99" t="str">
        <f>IF(H99&gt;=4,"yes","no")</f>
        <v>yes</v>
      </c>
      <c r="J99" t="str">
        <f>IF(AND(D99&gt;30,H99&gt;=4),"yes","no")</f>
        <v>yes</v>
      </c>
      <c r="K99" t="s">
        <v>17</v>
      </c>
      <c r="L99">
        <v>1</v>
      </c>
    </row>
    <row r="100" spans="1:12" hidden="1" x14ac:dyDescent="0.35">
      <c r="A100">
        <v>1031</v>
      </c>
      <c r="B100" t="s">
        <v>48</v>
      </c>
      <c r="C100" t="s">
        <v>16</v>
      </c>
      <c r="D100">
        <v>49</v>
      </c>
      <c r="E100" s="2">
        <v>42035</v>
      </c>
      <c r="F100">
        <v>38350</v>
      </c>
      <c r="G100">
        <f>F100*0.12</f>
        <v>4602</v>
      </c>
      <c r="H100">
        <v>1</v>
      </c>
      <c r="I100" t="str">
        <f>IF(H100&gt;=4,"yes","no")</f>
        <v>no</v>
      </c>
      <c r="J100" t="str">
        <f>IF(AND(D100&gt;30,H100&gt;=4),"yes","no")</f>
        <v>no</v>
      </c>
      <c r="K100" t="s">
        <v>11</v>
      </c>
      <c r="L100">
        <v>18</v>
      </c>
    </row>
    <row r="101" spans="1:12" hidden="1" x14ac:dyDescent="0.35">
      <c r="A101">
        <v>1511</v>
      </c>
      <c r="B101" t="s">
        <v>528</v>
      </c>
      <c r="C101" t="s">
        <v>16</v>
      </c>
      <c r="D101">
        <v>42</v>
      </c>
      <c r="E101" s="2">
        <v>42515</v>
      </c>
      <c r="F101">
        <v>36653</v>
      </c>
      <c r="G101">
        <f>F101*0.12</f>
        <v>4398.3599999999997</v>
      </c>
      <c r="H101">
        <v>1</v>
      </c>
      <c r="I101" t="str">
        <f>IF(H101&gt;=4,"yes","no")</f>
        <v>no</v>
      </c>
      <c r="J101" t="str">
        <f>IF(AND(D101&gt;30,H101&gt;=4),"yes","no")</f>
        <v>no</v>
      </c>
      <c r="K101" t="s">
        <v>14</v>
      </c>
      <c r="L101">
        <v>11</v>
      </c>
    </row>
    <row r="102" spans="1:12" hidden="1" x14ac:dyDescent="0.35">
      <c r="A102">
        <v>1148</v>
      </c>
      <c r="B102" t="s">
        <v>165</v>
      </c>
      <c r="C102" t="s">
        <v>16</v>
      </c>
      <c r="D102">
        <v>25</v>
      </c>
      <c r="E102" s="2">
        <v>42152</v>
      </c>
      <c r="F102">
        <v>35616</v>
      </c>
      <c r="G102">
        <f>F102*0.12</f>
        <v>4273.92</v>
      </c>
      <c r="H102">
        <v>1</v>
      </c>
      <c r="I102" t="str">
        <f>IF(H102&gt;=4,"yes","no")</f>
        <v>no</v>
      </c>
      <c r="J102" t="str">
        <f>IF(AND(D102&gt;30,H102&gt;=4),"yes","no")</f>
        <v>no</v>
      </c>
      <c r="K102" t="s">
        <v>11</v>
      </c>
      <c r="L102">
        <v>4</v>
      </c>
    </row>
    <row r="103" spans="1:12" hidden="1" x14ac:dyDescent="0.35">
      <c r="A103">
        <v>1211</v>
      </c>
      <c r="B103" t="s">
        <v>228</v>
      </c>
      <c r="C103" t="s">
        <v>16</v>
      </c>
      <c r="D103">
        <v>46</v>
      </c>
      <c r="E103" s="2">
        <v>42215</v>
      </c>
      <c r="F103">
        <v>32657</v>
      </c>
      <c r="G103">
        <f>F103*0.12</f>
        <v>3918.8399999999997</v>
      </c>
      <c r="H103">
        <v>2</v>
      </c>
      <c r="I103" t="str">
        <f>IF(H103&gt;=4,"yes","no")</f>
        <v>no</v>
      </c>
      <c r="J103" t="str">
        <f>IF(AND(D103&gt;30,H103&gt;=4),"yes","no")</f>
        <v>no</v>
      </c>
      <c r="K103" t="s">
        <v>23</v>
      </c>
      <c r="L103">
        <v>3</v>
      </c>
    </row>
    <row r="104" spans="1:12" hidden="1" x14ac:dyDescent="0.35">
      <c r="A104">
        <v>1168</v>
      </c>
      <c r="B104" t="s">
        <v>185</v>
      </c>
      <c r="C104" t="s">
        <v>16</v>
      </c>
      <c r="D104">
        <v>55</v>
      </c>
      <c r="E104" s="2">
        <v>42172</v>
      </c>
      <c r="F104">
        <v>29494</v>
      </c>
      <c r="G104">
        <f>F104*0.12</f>
        <v>3539.2799999999997</v>
      </c>
      <c r="H104">
        <v>5</v>
      </c>
      <c r="I104" t="str">
        <f>IF(H104&gt;=4,"yes","no")</f>
        <v>yes</v>
      </c>
      <c r="J104" t="str">
        <f>IF(AND(D104&gt;30,H104&gt;=4),"yes","no")</f>
        <v>yes</v>
      </c>
      <c r="K104" t="s">
        <v>23</v>
      </c>
      <c r="L104">
        <v>12</v>
      </c>
    </row>
    <row r="105" spans="1:12" hidden="1" x14ac:dyDescent="0.35">
      <c r="A105">
        <v>1109</v>
      </c>
      <c r="B105" t="s">
        <v>126</v>
      </c>
      <c r="C105" t="s">
        <v>16</v>
      </c>
      <c r="D105">
        <v>23</v>
      </c>
      <c r="E105" s="2">
        <v>42113</v>
      </c>
      <c r="F105">
        <v>27983</v>
      </c>
      <c r="G105">
        <f>F105*0.12</f>
        <v>3357.96</v>
      </c>
      <c r="H105">
        <v>1</v>
      </c>
      <c r="I105" t="str">
        <f>IF(H105&gt;=4,"yes","no")</f>
        <v>no</v>
      </c>
      <c r="J105" t="str">
        <f>IF(AND(D105&gt;30,H105&gt;=4),"yes","no")</f>
        <v>no</v>
      </c>
      <c r="K105" t="s">
        <v>17</v>
      </c>
      <c r="L105">
        <v>7</v>
      </c>
    </row>
    <row r="106" spans="1:12" hidden="1" x14ac:dyDescent="0.35">
      <c r="A106">
        <v>1278</v>
      </c>
      <c r="B106" t="s">
        <v>295</v>
      </c>
      <c r="C106" t="s">
        <v>16</v>
      </c>
      <c r="D106">
        <v>54</v>
      </c>
      <c r="E106" s="2">
        <v>42282</v>
      </c>
      <c r="F106">
        <v>27469</v>
      </c>
      <c r="G106">
        <f>F106*0.12</f>
        <v>3296.2799999999997</v>
      </c>
      <c r="H106">
        <v>1</v>
      </c>
      <c r="I106" t="str">
        <f>IF(H106&gt;=4,"yes","no")</f>
        <v>no</v>
      </c>
      <c r="J106" t="str">
        <f>IF(AND(D106&gt;30,H106&gt;=4),"yes","no")</f>
        <v>no</v>
      </c>
      <c r="K106" t="s">
        <v>11</v>
      </c>
      <c r="L106">
        <v>12</v>
      </c>
    </row>
    <row r="107" spans="1:12" hidden="1" x14ac:dyDescent="0.35">
      <c r="A107">
        <v>1262</v>
      </c>
      <c r="B107" t="s">
        <v>279</v>
      </c>
      <c r="C107" t="s">
        <v>16</v>
      </c>
      <c r="D107">
        <v>47</v>
      </c>
      <c r="E107" s="2">
        <v>42266</v>
      </c>
      <c r="F107">
        <v>26591</v>
      </c>
      <c r="G107">
        <f>F107*0.12</f>
        <v>3190.92</v>
      </c>
      <c r="H107">
        <v>3</v>
      </c>
      <c r="I107" t="str">
        <f>IF(H107&gt;=4,"yes","no")</f>
        <v>no</v>
      </c>
      <c r="J107" t="str">
        <f>IF(AND(D107&gt;30,H107&gt;=4),"yes","no")</f>
        <v>no</v>
      </c>
      <c r="K107" t="s">
        <v>23</v>
      </c>
      <c r="L107">
        <v>4</v>
      </c>
    </row>
    <row r="108" spans="1:12" hidden="1" x14ac:dyDescent="0.35">
      <c r="A108">
        <v>1027</v>
      </c>
      <c r="B108" t="s">
        <v>44</v>
      </c>
      <c r="C108" t="s">
        <v>16</v>
      </c>
      <c r="D108">
        <v>57</v>
      </c>
      <c r="E108" s="2">
        <v>42031</v>
      </c>
      <c r="F108">
        <v>25060</v>
      </c>
      <c r="G108">
        <f>F108*0.12</f>
        <v>3007.2</v>
      </c>
      <c r="H108">
        <v>4</v>
      </c>
      <c r="I108" t="str">
        <f>IF(H108&gt;=4,"yes","no")</f>
        <v>yes</v>
      </c>
      <c r="J108" t="str">
        <f>IF(AND(D108&gt;30,H108&gt;=4),"yes","no")</f>
        <v>yes</v>
      </c>
      <c r="K108" t="s">
        <v>17</v>
      </c>
      <c r="L108">
        <v>16</v>
      </c>
    </row>
    <row r="109" spans="1:12" x14ac:dyDescent="0.35">
      <c r="A109">
        <v>1006</v>
      </c>
      <c r="B109" t="s">
        <v>21</v>
      </c>
      <c r="C109" t="s">
        <v>641</v>
      </c>
      <c r="D109">
        <v>41</v>
      </c>
      <c r="E109" s="2">
        <v>42010</v>
      </c>
      <c r="F109">
        <v>119613</v>
      </c>
      <c r="G109">
        <f>F109*0.12</f>
        <v>14353.56</v>
      </c>
      <c r="H109">
        <v>1</v>
      </c>
      <c r="I109" t="str">
        <f>IF(H109&gt;=4,"yes","no")</f>
        <v>no</v>
      </c>
      <c r="J109" t="str">
        <f>IF(AND(D109&gt;30,H109&gt;=4),"yes","no")</f>
        <v>no</v>
      </c>
      <c r="K109" t="s">
        <v>17</v>
      </c>
      <c r="L109">
        <v>29</v>
      </c>
    </row>
    <row r="110" spans="1:12" x14ac:dyDescent="0.35">
      <c r="A110">
        <v>1355</v>
      </c>
      <c r="B110" t="s">
        <v>372</v>
      </c>
      <c r="C110" t="s">
        <v>641</v>
      </c>
      <c r="D110">
        <v>48</v>
      </c>
      <c r="E110" s="2">
        <v>42359</v>
      </c>
      <c r="F110">
        <v>118106</v>
      </c>
      <c r="G110">
        <f>F110*0.12</f>
        <v>14172.72</v>
      </c>
      <c r="H110">
        <v>1</v>
      </c>
      <c r="I110" t="str">
        <f>IF(H110&gt;=4,"yes","no")</f>
        <v>no</v>
      </c>
      <c r="J110" t="str">
        <f>IF(AND(D110&gt;30,H110&gt;=4),"yes","no")</f>
        <v>no</v>
      </c>
      <c r="K110" t="s">
        <v>14</v>
      </c>
      <c r="L110">
        <v>17</v>
      </c>
    </row>
    <row r="111" spans="1:12" x14ac:dyDescent="0.35">
      <c r="A111">
        <v>1543</v>
      </c>
      <c r="B111" t="s">
        <v>560</v>
      </c>
      <c r="C111" t="s">
        <v>641</v>
      </c>
      <c r="D111">
        <v>43</v>
      </c>
      <c r="E111" s="2">
        <v>42547</v>
      </c>
      <c r="F111">
        <v>116194</v>
      </c>
      <c r="G111">
        <f>F111*0.12</f>
        <v>13943.279999999999</v>
      </c>
      <c r="H111">
        <v>5</v>
      </c>
      <c r="I111" t="str">
        <f>IF(H111&gt;=4,"yes","no")</f>
        <v>yes</v>
      </c>
      <c r="J111" t="str">
        <f>IF(AND(D111&gt;30,H111&gt;=4),"yes","no")</f>
        <v>yes</v>
      </c>
      <c r="K111" t="s">
        <v>17</v>
      </c>
      <c r="L111">
        <v>3</v>
      </c>
    </row>
    <row r="112" spans="1:12" x14ac:dyDescent="0.35">
      <c r="A112">
        <v>1346</v>
      </c>
      <c r="B112" t="s">
        <v>363</v>
      </c>
      <c r="C112" t="s">
        <v>641</v>
      </c>
      <c r="D112">
        <v>50</v>
      </c>
      <c r="E112" s="2">
        <v>42350</v>
      </c>
      <c r="F112">
        <v>115874</v>
      </c>
      <c r="G112">
        <f>F112*0.12</f>
        <v>13904.88</v>
      </c>
      <c r="H112">
        <v>4</v>
      </c>
      <c r="I112" t="str">
        <f>IF(H112&gt;=4,"yes","no")</f>
        <v>yes</v>
      </c>
      <c r="J112" t="str">
        <f>IF(AND(D112&gt;30,H112&gt;=4),"yes","no")</f>
        <v>yes</v>
      </c>
      <c r="K112" t="s">
        <v>23</v>
      </c>
      <c r="L112">
        <v>2</v>
      </c>
    </row>
    <row r="113" spans="1:12" x14ac:dyDescent="0.35">
      <c r="A113">
        <v>1166</v>
      </c>
      <c r="B113" t="s">
        <v>183</v>
      </c>
      <c r="C113" t="s">
        <v>641</v>
      </c>
      <c r="D113">
        <v>33</v>
      </c>
      <c r="E113" s="2">
        <v>42170</v>
      </c>
      <c r="F113">
        <v>115093</v>
      </c>
      <c r="G113">
        <f>F113*0.12</f>
        <v>13811.16</v>
      </c>
      <c r="H113">
        <v>1</v>
      </c>
      <c r="I113" t="str">
        <f>IF(H113&gt;=4,"yes","no")</f>
        <v>no</v>
      </c>
      <c r="J113" t="str">
        <f>IF(AND(D113&gt;30,H113&gt;=4),"yes","no")</f>
        <v>no</v>
      </c>
      <c r="K113" t="s">
        <v>19</v>
      </c>
      <c r="L113">
        <v>2</v>
      </c>
    </row>
    <row r="114" spans="1:12" x14ac:dyDescent="0.35">
      <c r="A114">
        <v>1040</v>
      </c>
      <c r="B114" t="s">
        <v>57</v>
      </c>
      <c r="C114" t="s">
        <v>641</v>
      </c>
      <c r="D114">
        <v>49</v>
      </c>
      <c r="E114" s="2">
        <v>42044</v>
      </c>
      <c r="F114">
        <v>113929</v>
      </c>
      <c r="G114">
        <f>F114*0.12</f>
        <v>13671.48</v>
      </c>
      <c r="H114">
        <v>1</v>
      </c>
      <c r="I114" t="str">
        <f>IF(H114&gt;=4,"yes","no")</f>
        <v>no</v>
      </c>
      <c r="J114" t="str">
        <f>IF(AND(D114&gt;30,H114&gt;=4),"yes","no")</f>
        <v>no</v>
      </c>
      <c r="K114" t="s">
        <v>19</v>
      </c>
      <c r="L114">
        <v>18</v>
      </c>
    </row>
    <row r="115" spans="1:12" x14ac:dyDescent="0.35">
      <c r="A115">
        <v>1076</v>
      </c>
      <c r="B115" t="s">
        <v>93</v>
      </c>
      <c r="C115" t="s">
        <v>641</v>
      </c>
      <c r="D115">
        <v>44</v>
      </c>
      <c r="E115" s="2">
        <v>42080</v>
      </c>
      <c r="F115">
        <v>112833</v>
      </c>
      <c r="G115">
        <f>F115*0.12</f>
        <v>13539.96</v>
      </c>
      <c r="H115">
        <v>3</v>
      </c>
      <c r="I115" t="str">
        <f>IF(H115&gt;=4,"yes","no")</f>
        <v>no</v>
      </c>
      <c r="J115" t="str">
        <f>IF(AND(D115&gt;30,H115&gt;=4),"yes","no")</f>
        <v>no</v>
      </c>
      <c r="K115" t="s">
        <v>17</v>
      </c>
      <c r="L115">
        <v>4</v>
      </c>
    </row>
    <row r="116" spans="1:12" x14ac:dyDescent="0.35">
      <c r="A116">
        <v>1319</v>
      </c>
      <c r="B116" t="s">
        <v>336</v>
      </c>
      <c r="C116" t="s">
        <v>641</v>
      </c>
      <c r="D116">
        <v>26</v>
      </c>
      <c r="E116" s="2">
        <v>42323</v>
      </c>
      <c r="F116">
        <v>112272</v>
      </c>
      <c r="G116">
        <f>F116*0.12</f>
        <v>13472.64</v>
      </c>
      <c r="H116">
        <v>4</v>
      </c>
      <c r="I116" t="str">
        <f>IF(H116&gt;=4,"yes","no")</f>
        <v>yes</v>
      </c>
      <c r="J116" t="str">
        <f>IF(AND(D116&gt;30,H116&gt;=4),"yes","no")</f>
        <v>no</v>
      </c>
      <c r="K116" t="s">
        <v>23</v>
      </c>
      <c r="L116">
        <v>17</v>
      </c>
    </row>
    <row r="117" spans="1:12" x14ac:dyDescent="0.35">
      <c r="A117">
        <v>1260</v>
      </c>
      <c r="B117" t="s">
        <v>277</v>
      </c>
      <c r="C117" t="s">
        <v>641</v>
      </c>
      <c r="D117">
        <v>26</v>
      </c>
      <c r="E117" s="2">
        <v>42264</v>
      </c>
      <c r="F117">
        <v>109082</v>
      </c>
      <c r="G117">
        <f>F117*0.12</f>
        <v>13089.84</v>
      </c>
      <c r="H117">
        <v>1</v>
      </c>
      <c r="I117" t="str">
        <f>IF(H117&gt;=4,"yes","no")</f>
        <v>no</v>
      </c>
      <c r="J117" t="str">
        <f>IF(AND(D117&gt;30,H117&gt;=4),"yes","no")</f>
        <v>no</v>
      </c>
      <c r="K117" t="s">
        <v>19</v>
      </c>
      <c r="L117">
        <v>25</v>
      </c>
    </row>
    <row r="118" spans="1:12" x14ac:dyDescent="0.35">
      <c r="A118">
        <v>1531</v>
      </c>
      <c r="B118" t="s">
        <v>548</v>
      </c>
      <c r="C118" t="s">
        <v>641</v>
      </c>
      <c r="D118">
        <v>23</v>
      </c>
      <c r="E118" s="2">
        <v>42535</v>
      </c>
      <c r="F118">
        <v>108847</v>
      </c>
      <c r="G118">
        <f>F118*0.12</f>
        <v>13061.64</v>
      </c>
      <c r="H118">
        <v>1</v>
      </c>
      <c r="I118" t="str">
        <f>IF(H118&gt;=4,"yes","no")</f>
        <v>no</v>
      </c>
      <c r="J118" t="str">
        <f>IF(AND(D118&gt;30,H118&gt;=4),"yes","no")</f>
        <v>no</v>
      </c>
      <c r="K118" t="s">
        <v>23</v>
      </c>
      <c r="L118">
        <v>24</v>
      </c>
    </row>
    <row r="119" spans="1:12" x14ac:dyDescent="0.35">
      <c r="A119">
        <v>1330</v>
      </c>
      <c r="B119" t="s">
        <v>347</v>
      </c>
      <c r="C119" t="s">
        <v>641</v>
      </c>
      <c r="D119">
        <v>59</v>
      </c>
      <c r="E119" s="2">
        <v>42334</v>
      </c>
      <c r="F119">
        <v>108807</v>
      </c>
      <c r="G119">
        <f>F119*0.12</f>
        <v>13056.84</v>
      </c>
      <c r="H119">
        <v>4</v>
      </c>
      <c r="I119" t="str">
        <f>IF(H119&gt;=4,"yes","no")</f>
        <v>yes</v>
      </c>
      <c r="J119" t="str">
        <f>IF(AND(D119&gt;30,H119&gt;=4),"yes","no")</f>
        <v>yes</v>
      </c>
      <c r="K119" t="s">
        <v>14</v>
      </c>
      <c r="L119">
        <v>3</v>
      </c>
    </row>
    <row r="120" spans="1:12" x14ac:dyDescent="0.35">
      <c r="A120">
        <v>1228</v>
      </c>
      <c r="B120" t="s">
        <v>245</v>
      </c>
      <c r="C120" t="s">
        <v>641</v>
      </c>
      <c r="D120">
        <v>43</v>
      </c>
      <c r="E120" s="2">
        <v>42232</v>
      </c>
      <c r="F120">
        <v>108560</v>
      </c>
      <c r="G120">
        <f>F120*0.12</f>
        <v>13027.199999999999</v>
      </c>
      <c r="H120">
        <v>1</v>
      </c>
      <c r="I120" t="str">
        <f>IF(H120&gt;=4,"yes","no")</f>
        <v>no</v>
      </c>
      <c r="J120" t="str">
        <f>IF(AND(D120&gt;30,H120&gt;=4),"yes","no")</f>
        <v>no</v>
      </c>
      <c r="K120" t="s">
        <v>17</v>
      </c>
      <c r="L120">
        <v>18</v>
      </c>
    </row>
    <row r="121" spans="1:12" x14ac:dyDescent="0.35">
      <c r="A121">
        <v>1412</v>
      </c>
      <c r="B121" t="s">
        <v>429</v>
      </c>
      <c r="C121" t="s">
        <v>641</v>
      </c>
      <c r="D121">
        <v>22</v>
      </c>
      <c r="E121" s="2">
        <v>42416</v>
      </c>
      <c r="F121">
        <v>107970</v>
      </c>
      <c r="G121">
        <f>F121*0.12</f>
        <v>12956.4</v>
      </c>
      <c r="H121">
        <v>4</v>
      </c>
      <c r="I121" t="str">
        <f>IF(H121&gt;=4,"yes","no")</f>
        <v>yes</v>
      </c>
      <c r="J121" t="str">
        <f>IF(AND(D121&gt;30,H121&gt;=4),"yes","no")</f>
        <v>no</v>
      </c>
      <c r="K121" t="s">
        <v>17</v>
      </c>
      <c r="L121">
        <v>29</v>
      </c>
    </row>
    <row r="122" spans="1:12" x14ac:dyDescent="0.35">
      <c r="A122">
        <v>1417</v>
      </c>
      <c r="B122" t="s">
        <v>434</v>
      </c>
      <c r="C122" t="s">
        <v>641</v>
      </c>
      <c r="D122">
        <v>44</v>
      </c>
      <c r="E122" s="2">
        <v>42421</v>
      </c>
      <c r="F122">
        <v>107879</v>
      </c>
      <c r="G122">
        <f>F122*0.12</f>
        <v>12945.48</v>
      </c>
      <c r="H122">
        <v>4</v>
      </c>
      <c r="I122" t="str">
        <f>IF(H122&gt;=4,"yes","no")</f>
        <v>yes</v>
      </c>
      <c r="J122" t="str">
        <f>IF(AND(D122&gt;30,H122&gt;=4),"yes","no")</f>
        <v>yes</v>
      </c>
      <c r="K122" t="s">
        <v>17</v>
      </c>
      <c r="L122">
        <v>2</v>
      </c>
    </row>
    <row r="123" spans="1:12" x14ac:dyDescent="0.35">
      <c r="A123">
        <v>1373</v>
      </c>
      <c r="B123" t="s">
        <v>390</v>
      </c>
      <c r="C123" t="s">
        <v>641</v>
      </c>
      <c r="D123">
        <v>50</v>
      </c>
      <c r="E123" s="2">
        <v>42377</v>
      </c>
      <c r="F123">
        <v>103797</v>
      </c>
      <c r="G123">
        <f>F123*0.12</f>
        <v>12455.64</v>
      </c>
      <c r="H123">
        <v>2</v>
      </c>
      <c r="I123" t="str">
        <f>IF(H123&gt;=4,"yes","no")</f>
        <v>no</v>
      </c>
      <c r="J123" t="str">
        <f>IF(AND(D123&gt;30,H123&gt;=4),"yes","no")</f>
        <v>no</v>
      </c>
      <c r="K123" t="s">
        <v>14</v>
      </c>
      <c r="L123">
        <v>29</v>
      </c>
    </row>
    <row r="124" spans="1:12" x14ac:dyDescent="0.35">
      <c r="A124">
        <v>1345</v>
      </c>
      <c r="B124" t="s">
        <v>362</v>
      </c>
      <c r="C124" t="s">
        <v>641</v>
      </c>
      <c r="D124">
        <v>36</v>
      </c>
      <c r="E124" s="2">
        <v>42349</v>
      </c>
      <c r="F124">
        <v>102475</v>
      </c>
      <c r="G124">
        <f>F124*0.12</f>
        <v>12297</v>
      </c>
      <c r="H124">
        <v>5</v>
      </c>
      <c r="I124" t="str">
        <f>IF(H124&gt;=4,"yes","no")</f>
        <v>yes</v>
      </c>
      <c r="J124" t="str">
        <f>IF(AND(D124&gt;30,H124&gt;=4),"yes","no")</f>
        <v>yes</v>
      </c>
      <c r="K124" t="s">
        <v>14</v>
      </c>
      <c r="L124">
        <v>5</v>
      </c>
    </row>
    <row r="125" spans="1:12" x14ac:dyDescent="0.35">
      <c r="A125">
        <v>1316</v>
      </c>
      <c r="B125" t="s">
        <v>333</v>
      </c>
      <c r="C125" t="s">
        <v>641</v>
      </c>
      <c r="D125">
        <v>56</v>
      </c>
      <c r="E125" s="2">
        <v>42320</v>
      </c>
      <c r="F125">
        <v>101242</v>
      </c>
      <c r="G125">
        <f>F125*0.12</f>
        <v>12149.039999999999</v>
      </c>
      <c r="H125">
        <v>3</v>
      </c>
      <c r="I125" t="str">
        <f>IF(H125&gt;=4,"yes","no")</f>
        <v>no</v>
      </c>
      <c r="J125" t="str">
        <f>IF(AND(D125&gt;30,H125&gt;=4),"yes","no")</f>
        <v>no</v>
      </c>
      <c r="K125" t="s">
        <v>14</v>
      </c>
      <c r="L125">
        <v>10</v>
      </c>
    </row>
    <row r="126" spans="1:12" x14ac:dyDescent="0.35">
      <c r="A126">
        <v>1028</v>
      </c>
      <c r="B126" t="s">
        <v>45</v>
      </c>
      <c r="C126" t="s">
        <v>641</v>
      </c>
      <c r="D126">
        <v>47</v>
      </c>
      <c r="E126" s="2">
        <v>42032</v>
      </c>
      <c r="F126">
        <v>99666</v>
      </c>
      <c r="G126">
        <f>F126*0.12</f>
        <v>11959.92</v>
      </c>
      <c r="H126">
        <v>3</v>
      </c>
      <c r="I126" t="str">
        <f>IF(H126&gt;=4,"yes","no")</f>
        <v>no</v>
      </c>
      <c r="J126" t="str">
        <f>IF(AND(D126&gt;30,H126&gt;=4),"yes","no")</f>
        <v>no</v>
      </c>
      <c r="K126" t="s">
        <v>23</v>
      </c>
      <c r="L126">
        <v>0</v>
      </c>
    </row>
    <row r="127" spans="1:12" x14ac:dyDescent="0.35">
      <c r="A127">
        <v>1465</v>
      </c>
      <c r="B127" t="s">
        <v>482</v>
      </c>
      <c r="C127" t="s">
        <v>641</v>
      </c>
      <c r="D127">
        <v>51</v>
      </c>
      <c r="E127" s="2">
        <v>42469</v>
      </c>
      <c r="F127">
        <v>99319</v>
      </c>
      <c r="G127">
        <f>F127*0.12</f>
        <v>11918.279999999999</v>
      </c>
      <c r="H127">
        <v>4</v>
      </c>
      <c r="I127" t="str">
        <f>IF(H127&gt;=4,"yes","no")</f>
        <v>yes</v>
      </c>
      <c r="J127" t="str">
        <f>IF(AND(D127&gt;30,H127&gt;=4),"yes","no")</f>
        <v>yes</v>
      </c>
      <c r="K127" t="s">
        <v>14</v>
      </c>
      <c r="L127">
        <v>20</v>
      </c>
    </row>
    <row r="128" spans="1:12" x14ac:dyDescent="0.35">
      <c r="A128">
        <v>1411</v>
      </c>
      <c r="B128" t="s">
        <v>428</v>
      </c>
      <c r="C128" t="s">
        <v>641</v>
      </c>
      <c r="D128">
        <v>44</v>
      </c>
      <c r="E128" s="2">
        <v>42415</v>
      </c>
      <c r="F128">
        <v>99318</v>
      </c>
      <c r="G128">
        <f>F128*0.12</f>
        <v>11918.16</v>
      </c>
      <c r="H128">
        <v>2</v>
      </c>
      <c r="I128" t="str">
        <f>IF(H128&gt;=4,"yes","no")</f>
        <v>no</v>
      </c>
      <c r="J128" t="str">
        <f>IF(AND(D128&gt;30,H128&gt;=4),"yes","no")</f>
        <v>no</v>
      </c>
      <c r="K128" t="s">
        <v>19</v>
      </c>
      <c r="L128">
        <v>3</v>
      </c>
    </row>
    <row r="129" spans="1:12" x14ac:dyDescent="0.35">
      <c r="A129">
        <v>1201</v>
      </c>
      <c r="B129" t="s">
        <v>218</v>
      </c>
      <c r="C129" t="s">
        <v>641</v>
      </c>
      <c r="D129">
        <v>58</v>
      </c>
      <c r="E129" s="2">
        <v>42205</v>
      </c>
      <c r="F129">
        <v>98781</v>
      </c>
      <c r="G129">
        <f>F129*0.12</f>
        <v>11853.72</v>
      </c>
      <c r="H129">
        <v>4</v>
      </c>
      <c r="I129" t="str">
        <f>IF(H129&gt;=4,"yes","no")</f>
        <v>yes</v>
      </c>
      <c r="J129" t="str">
        <f>IF(AND(D129&gt;30,H129&gt;=4),"yes","no")</f>
        <v>yes</v>
      </c>
      <c r="K129" t="s">
        <v>14</v>
      </c>
      <c r="L129">
        <v>28</v>
      </c>
    </row>
    <row r="130" spans="1:12" x14ac:dyDescent="0.35">
      <c r="A130">
        <v>1336</v>
      </c>
      <c r="B130" t="s">
        <v>353</v>
      </c>
      <c r="C130" t="s">
        <v>641</v>
      </c>
      <c r="D130">
        <v>38</v>
      </c>
      <c r="E130" s="2">
        <v>42340</v>
      </c>
      <c r="F130">
        <v>98609</v>
      </c>
      <c r="G130">
        <f>F130*0.12</f>
        <v>11833.08</v>
      </c>
      <c r="H130">
        <v>5</v>
      </c>
      <c r="I130" t="str">
        <f>IF(H130&gt;=4,"yes","no")</f>
        <v>yes</v>
      </c>
      <c r="J130" t="str">
        <f>IF(AND(D130&gt;30,H130&gt;=4),"yes","no")</f>
        <v>yes</v>
      </c>
      <c r="K130" t="s">
        <v>14</v>
      </c>
      <c r="L130">
        <v>7</v>
      </c>
    </row>
    <row r="131" spans="1:12" x14ac:dyDescent="0.35">
      <c r="A131">
        <v>1329</v>
      </c>
      <c r="B131" t="s">
        <v>346</v>
      </c>
      <c r="C131" t="s">
        <v>641</v>
      </c>
      <c r="D131">
        <v>53</v>
      </c>
      <c r="E131" s="2">
        <v>42333</v>
      </c>
      <c r="F131">
        <v>97595</v>
      </c>
      <c r="G131">
        <f>F131*0.12</f>
        <v>11711.4</v>
      </c>
      <c r="H131">
        <v>1</v>
      </c>
      <c r="I131" t="str">
        <f>IF(H131&gt;=4,"yes","no")</f>
        <v>no</v>
      </c>
      <c r="J131" t="str">
        <f>IF(AND(D131&gt;30,H131&gt;=4),"yes","no")</f>
        <v>no</v>
      </c>
      <c r="K131" t="s">
        <v>11</v>
      </c>
      <c r="L131">
        <v>14</v>
      </c>
    </row>
    <row r="132" spans="1:12" x14ac:dyDescent="0.35">
      <c r="A132">
        <v>1552</v>
      </c>
      <c r="B132" t="s">
        <v>569</v>
      </c>
      <c r="C132" t="s">
        <v>641</v>
      </c>
      <c r="D132">
        <v>35</v>
      </c>
      <c r="E132" s="2">
        <v>42556</v>
      </c>
      <c r="F132">
        <v>97541</v>
      </c>
      <c r="G132">
        <f>F132*0.12</f>
        <v>11704.92</v>
      </c>
      <c r="H132">
        <v>3</v>
      </c>
      <c r="I132" t="str">
        <f>IF(H132&gt;=4,"yes","no")</f>
        <v>no</v>
      </c>
      <c r="J132" t="str">
        <f>IF(AND(D132&gt;30,H132&gt;=4),"yes","no")</f>
        <v>no</v>
      </c>
      <c r="K132" t="s">
        <v>17</v>
      </c>
      <c r="L132">
        <v>15</v>
      </c>
    </row>
    <row r="133" spans="1:12" x14ac:dyDescent="0.35">
      <c r="A133">
        <v>1315</v>
      </c>
      <c r="B133" t="s">
        <v>332</v>
      </c>
      <c r="C133" t="s">
        <v>641</v>
      </c>
      <c r="D133">
        <v>51</v>
      </c>
      <c r="E133" s="2">
        <v>42319</v>
      </c>
      <c r="F133">
        <v>95981</v>
      </c>
      <c r="G133">
        <f>F133*0.12</f>
        <v>11517.72</v>
      </c>
      <c r="H133">
        <v>1</v>
      </c>
      <c r="I133" t="str">
        <f>IF(H133&gt;=4,"yes","no")</f>
        <v>no</v>
      </c>
      <c r="J133" t="str">
        <f>IF(AND(D133&gt;30,H133&gt;=4),"yes","no")</f>
        <v>no</v>
      </c>
      <c r="K133" t="s">
        <v>23</v>
      </c>
      <c r="L133">
        <v>26</v>
      </c>
    </row>
    <row r="134" spans="1:12" x14ac:dyDescent="0.35">
      <c r="A134">
        <v>1065</v>
      </c>
      <c r="B134" t="s">
        <v>82</v>
      </c>
      <c r="C134" t="s">
        <v>641</v>
      </c>
      <c r="D134">
        <v>56</v>
      </c>
      <c r="E134" s="2">
        <v>42069</v>
      </c>
      <c r="F134">
        <v>95855</v>
      </c>
      <c r="G134">
        <f>F134*0.12</f>
        <v>11502.6</v>
      </c>
      <c r="H134">
        <v>2</v>
      </c>
      <c r="I134" t="str">
        <f>IF(H134&gt;=4,"yes","no")</f>
        <v>no</v>
      </c>
      <c r="J134" t="str">
        <f>IF(AND(D134&gt;30,H134&gt;=4),"yes","no")</f>
        <v>no</v>
      </c>
      <c r="K134" t="s">
        <v>23</v>
      </c>
      <c r="L134">
        <v>16</v>
      </c>
    </row>
    <row r="135" spans="1:12" x14ac:dyDescent="0.35">
      <c r="A135">
        <v>1074</v>
      </c>
      <c r="B135" t="s">
        <v>91</v>
      </c>
      <c r="C135" t="s">
        <v>641</v>
      </c>
      <c r="D135">
        <v>59</v>
      </c>
      <c r="E135" s="2">
        <v>42078</v>
      </c>
      <c r="F135">
        <v>95342</v>
      </c>
      <c r="G135">
        <f>F135*0.12</f>
        <v>11441.039999999999</v>
      </c>
      <c r="H135">
        <v>5</v>
      </c>
      <c r="I135" t="str">
        <f>IF(H135&gt;=4,"yes","no")</f>
        <v>yes</v>
      </c>
      <c r="J135" t="str">
        <f>IF(AND(D135&gt;30,H135&gt;=4),"yes","no")</f>
        <v>yes</v>
      </c>
      <c r="K135" t="s">
        <v>14</v>
      </c>
      <c r="L135">
        <v>14</v>
      </c>
    </row>
    <row r="136" spans="1:12" x14ac:dyDescent="0.35">
      <c r="A136">
        <v>1044</v>
      </c>
      <c r="B136" t="s">
        <v>61</v>
      </c>
      <c r="C136" t="s">
        <v>641</v>
      </c>
      <c r="D136">
        <v>27</v>
      </c>
      <c r="E136" s="2">
        <v>42048</v>
      </c>
      <c r="F136">
        <v>94626</v>
      </c>
      <c r="G136">
        <f>F136*0.12</f>
        <v>11355.119999999999</v>
      </c>
      <c r="H136">
        <v>4</v>
      </c>
      <c r="I136" t="str">
        <f>IF(H136&gt;=4,"yes","no")</f>
        <v>yes</v>
      </c>
      <c r="J136" t="str">
        <f>IF(AND(D136&gt;30,H136&gt;=4),"yes","no")</f>
        <v>no</v>
      </c>
      <c r="K136" t="s">
        <v>19</v>
      </c>
      <c r="L136">
        <v>13</v>
      </c>
    </row>
    <row r="137" spans="1:12" x14ac:dyDescent="0.35">
      <c r="A137">
        <v>1173</v>
      </c>
      <c r="B137" t="s">
        <v>190</v>
      </c>
      <c r="C137" t="s">
        <v>641</v>
      </c>
      <c r="D137">
        <v>47</v>
      </c>
      <c r="E137" s="2">
        <v>42177</v>
      </c>
      <c r="F137">
        <v>92364</v>
      </c>
      <c r="G137">
        <f>F137*0.12</f>
        <v>11083.68</v>
      </c>
      <c r="H137">
        <v>3</v>
      </c>
      <c r="I137" t="str">
        <f>IF(H137&gt;=4,"yes","no")</f>
        <v>no</v>
      </c>
      <c r="J137" t="str">
        <f>IF(AND(D137&gt;30,H137&gt;=4),"yes","no")</f>
        <v>no</v>
      </c>
      <c r="K137" t="s">
        <v>23</v>
      </c>
      <c r="L137">
        <v>21</v>
      </c>
    </row>
    <row r="138" spans="1:12" x14ac:dyDescent="0.35">
      <c r="A138">
        <v>1231</v>
      </c>
      <c r="B138" t="s">
        <v>248</v>
      </c>
      <c r="C138" t="s">
        <v>641</v>
      </c>
      <c r="D138">
        <v>27</v>
      </c>
      <c r="E138" s="2">
        <v>42235</v>
      </c>
      <c r="F138">
        <v>90160</v>
      </c>
      <c r="G138">
        <f>F138*0.12</f>
        <v>10819.199999999999</v>
      </c>
      <c r="H138">
        <v>2</v>
      </c>
      <c r="I138" t="str">
        <f>IF(H138&gt;=4,"yes","no")</f>
        <v>no</v>
      </c>
      <c r="J138" t="str">
        <f>IF(AND(D138&gt;30,H138&gt;=4),"yes","no")</f>
        <v>no</v>
      </c>
      <c r="K138" t="s">
        <v>11</v>
      </c>
      <c r="L138">
        <v>20</v>
      </c>
    </row>
    <row r="139" spans="1:12" x14ac:dyDescent="0.35">
      <c r="A139">
        <v>1313</v>
      </c>
      <c r="B139" t="s">
        <v>330</v>
      </c>
      <c r="C139" t="s">
        <v>641</v>
      </c>
      <c r="D139">
        <v>58</v>
      </c>
      <c r="E139" s="2">
        <v>42317</v>
      </c>
      <c r="F139">
        <v>88852</v>
      </c>
      <c r="G139">
        <f>F139*0.12</f>
        <v>10662.24</v>
      </c>
      <c r="H139">
        <v>4</v>
      </c>
      <c r="I139" t="str">
        <f>IF(H139&gt;=4,"yes","no")</f>
        <v>yes</v>
      </c>
      <c r="J139" t="str">
        <f>IF(AND(D139&gt;30,H139&gt;=4),"yes","no")</f>
        <v>yes</v>
      </c>
      <c r="K139" t="s">
        <v>19</v>
      </c>
      <c r="L139">
        <v>22</v>
      </c>
    </row>
    <row r="140" spans="1:12" x14ac:dyDescent="0.35">
      <c r="A140">
        <v>1281</v>
      </c>
      <c r="B140" t="s">
        <v>298</v>
      </c>
      <c r="C140" t="s">
        <v>641</v>
      </c>
      <c r="D140">
        <v>26</v>
      </c>
      <c r="E140" s="2">
        <v>42285</v>
      </c>
      <c r="F140">
        <v>88620</v>
      </c>
      <c r="G140">
        <f>F140*0.12</f>
        <v>10634.4</v>
      </c>
      <c r="H140">
        <v>4</v>
      </c>
      <c r="I140" t="str">
        <f>IF(H140&gt;=4,"yes","no")</f>
        <v>yes</v>
      </c>
      <c r="J140" t="str">
        <f>IF(AND(D140&gt;30,H140&gt;=4),"yes","no")</f>
        <v>no</v>
      </c>
      <c r="K140" t="s">
        <v>17</v>
      </c>
      <c r="L140">
        <v>21</v>
      </c>
    </row>
    <row r="141" spans="1:12" x14ac:dyDescent="0.35">
      <c r="A141">
        <v>1388</v>
      </c>
      <c r="B141" t="s">
        <v>405</v>
      </c>
      <c r="C141" t="s">
        <v>641</v>
      </c>
      <c r="D141">
        <v>27</v>
      </c>
      <c r="E141" s="2">
        <v>42392</v>
      </c>
      <c r="F141">
        <v>88416</v>
      </c>
      <c r="G141">
        <f>F141*0.12</f>
        <v>10609.92</v>
      </c>
      <c r="H141">
        <v>2</v>
      </c>
      <c r="I141" t="str">
        <f>IF(H141&gt;=4,"yes","no")</f>
        <v>no</v>
      </c>
      <c r="J141" t="str">
        <f>IF(AND(D141&gt;30,H141&gt;=4),"yes","no")</f>
        <v>no</v>
      </c>
      <c r="K141" t="s">
        <v>23</v>
      </c>
      <c r="L141">
        <v>0</v>
      </c>
    </row>
    <row r="142" spans="1:12" x14ac:dyDescent="0.35">
      <c r="A142">
        <v>1068</v>
      </c>
      <c r="B142" t="s">
        <v>85</v>
      </c>
      <c r="C142" t="s">
        <v>641</v>
      </c>
      <c r="D142">
        <v>27</v>
      </c>
      <c r="E142" s="2">
        <v>42072</v>
      </c>
      <c r="F142">
        <v>87552</v>
      </c>
      <c r="G142">
        <f>F142*0.12</f>
        <v>10506.24</v>
      </c>
      <c r="H142">
        <v>2</v>
      </c>
      <c r="I142" t="str">
        <f>IF(H142&gt;=4,"yes","no")</f>
        <v>no</v>
      </c>
      <c r="J142" t="str">
        <f>IF(AND(D142&gt;30,H142&gt;=4),"yes","no")</f>
        <v>no</v>
      </c>
      <c r="K142" t="s">
        <v>14</v>
      </c>
      <c r="L142">
        <v>11</v>
      </c>
    </row>
    <row r="143" spans="1:12" x14ac:dyDescent="0.35">
      <c r="A143">
        <v>1184</v>
      </c>
      <c r="B143" t="s">
        <v>201</v>
      </c>
      <c r="C143" t="s">
        <v>641</v>
      </c>
      <c r="D143">
        <v>35</v>
      </c>
      <c r="E143" s="2">
        <v>42188</v>
      </c>
      <c r="F143">
        <v>87211</v>
      </c>
      <c r="G143">
        <f>F143*0.12</f>
        <v>10465.32</v>
      </c>
      <c r="H143">
        <v>4</v>
      </c>
      <c r="I143" t="str">
        <f>IF(H143&gt;=4,"yes","no")</f>
        <v>yes</v>
      </c>
      <c r="J143" t="str">
        <f>IF(AND(D143&gt;30,H143&gt;=4),"yes","no")</f>
        <v>yes</v>
      </c>
      <c r="K143" t="s">
        <v>19</v>
      </c>
      <c r="L143">
        <v>29</v>
      </c>
    </row>
    <row r="144" spans="1:12" x14ac:dyDescent="0.35">
      <c r="A144">
        <v>1471</v>
      </c>
      <c r="B144" t="s">
        <v>488</v>
      </c>
      <c r="C144" t="s">
        <v>641</v>
      </c>
      <c r="D144">
        <v>23</v>
      </c>
      <c r="E144" s="2">
        <v>42475</v>
      </c>
      <c r="F144">
        <v>86681</v>
      </c>
      <c r="G144">
        <f>F144*0.12</f>
        <v>10401.719999999999</v>
      </c>
      <c r="H144">
        <v>5</v>
      </c>
      <c r="I144" t="str">
        <f>IF(H144&gt;=4,"yes","no")</f>
        <v>yes</v>
      </c>
      <c r="J144" t="str">
        <f>IF(AND(D144&gt;30,H144&gt;=4),"yes","no")</f>
        <v>no</v>
      </c>
      <c r="K144" t="s">
        <v>17</v>
      </c>
      <c r="L144">
        <v>24</v>
      </c>
    </row>
    <row r="145" spans="1:12" x14ac:dyDescent="0.35">
      <c r="A145">
        <v>1194</v>
      </c>
      <c r="B145" t="s">
        <v>211</v>
      </c>
      <c r="C145" t="s">
        <v>641</v>
      </c>
      <c r="D145">
        <v>24</v>
      </c>
      <c r="E145" s="2">
        <v>42198</v>
      </c>
      <c r="F145">
        <v>86665</v>
      </c>
      <c r="G145">
        <f>F145*0.12</f>
        <v>10399.799999999999</v>
      </c>
      <c r="H145">
        <v>5</v>
      </c>
      <c r="I145" t="str">
        <f>IF(H145&gt;=4,"yes","no")</f>
        <v>yes</v>
      </c>
      <c r="J145" t="str">
        <f>IF(AND(D145&gt;30,H145&gt;=4),"yes","no")</f>
        <v>no</v>
      </c>
      <c r="K145" t="s">
        <v>19</v>
      </c>
      <c r="L145">
        <v>22</v>
      </c>
    </row>
    <row r="146" spans="1:12" x14ac:dyDescent="0.35">
      <c r="A146">
        <v>1322</v>
      </c>
      <c r="B146" t="s">
        <v>339</v>
      </c>
      <c r="C146" t="s">
        <v>641</v>
      </c>
      <c r="D146">
        <v>47</v>
      </c>
      <c r="E146" s="2">
        <v>42326</v>
      </c>
      <c r="F146">
        <v>86246</v>
      </c>
      <c r="G146">
        <f>F146*0.12</f>
        <v>10349.52</v>
      </c>
      <c r="H146">
        <v>5</v>
      </c>
      <c r="I146" t="str">
        <f>IF(H146&gt;=4,"yes","no")</f>
        <v>yes</v>
      </c>
      <c r="J146" t="str">
        <f>IF(AND(D146&gt;30,H146&gt;=4),"yes","no")</f>
        <v>yes</v>
      </c>
      <c r="K146" t="s">
        <v>17</v>
      </c>
      <c r="L146">
        <v>20</v>
      </c>
    </row>
    <row r="147" spans="1:12" x14ac:dyDescent="0.35">
      <c r="A147">
        <v>1553</v>
      </c>
      <c r="B147" t="s">
        <v>570</v>
      </c>
      <c r="C147" t="s">
        <v>641</v>
      </c>
      <c r="D147">
        <v>30</v>
      </c>
      <c r="E147" s="2">
        <v>42557</v>
      </c>
      <c r="F147">
        <v>84321</v>
      </c>
      <c r="G147">
        <f>F147*0.12</f>
        <v>10118.52</v>
      </c>
      <c r="H147">
        <v>4</v>
      </c>
      <c r="I147" t="str">
        <f>IF(H147&gt;=4,"yes","no")</f>
        <v>yes</v>
      </c>
      <c r="J147" t="str">
        <f>IF(AND(D147&gt;30,H147&gt;=4),"yes","no")</f>
        <v>no</v>
      </c>
      <c r="K147" t="s">
        <v>11</v>
      </c>
      <c r="L147">
        <v>23</v>
      </c>
    </row>
    <row r="148" spans="1:12" x14ac:dyDescent="0.35">
      <c r="A148">
        <v>1064</v>
      </c>
      <c r="B148" t="s">
        <v>81</v>
      </c>
      <c r="C148" t="s">
        <v>641</v>
      </c>
      <c r="D148">
        <v>55</v>
      </c>
      <c r="E148" s="2">
        <v>42068</v>
      </c>
      <c r="F148">
        <v>83053</v>
      </c>
      <c r="G148">
        <f>F148*0.12</f>
        <v>9966.3599999999988</v>
      </c>
      <c r="H148">
        <v>4</v>
      </c>
      <c r="I148" t="str">
        <f>IF(H148&gt;=4,"yes","no")</f>
        <v>yes</v>
      </c>
      <c r="J148" t="str">
        <f>IF(AND(D148&gt;30,H148&gt;=4),"yes","no")</f>
        <v>yes</v>
      </c>
      <c r="K148" t="s">
        <v>14</v>
      </c>
      <c r="L148">
        <v>1</v>
      </c>
    </row>
    <row r="149" spans="1:12" x14ac:dyDescent="0.35">
      <c r="A149">
        <v>1351</v>
      </c>
      <c r="B149" t="s">
        <v>368</v>
      </c>
      <c r="C149" t="s">
        <v>641</v>
      </c>
      <c r="D149">
        <v>50</v>
      </c>
      <c r="E149" s="2">
        <v>42355</v>
      </c>
      <c r="F149">
        <v>82372</v>
      </c>
      <c r="G149">
        <f>F149*0.12</f>
        <v>9884.64</v>
      </c>
      <c r="H149">
        <v>1</v>
      </c>
      <c r="I149" t="str">
        <f>IF(H149&gt;=4,"yes","no")</f>
        <v>no</v>
      </c>
      <c r="J149" t="str">
        <f>IF(AND(D149&gt;30,H149&gt;=4),"yes","no")</f>
        <v>no</v>
      </c>
      <c r="K149" t="s">
        <v>17</v>
      </c>
      <c r="L149">
        <v>13</v>
      </c>
    </row>
    <row r="150" spans="1:12" x14ac:dyDescent="0.35">
      <c r="A150">
        <v>1067</v>
      </c>
      <c r="B150" t="s">
        <v>84</v>
      </c>
      <c r="C150" t="s">
        <v>641</v>
      </c>
      <c r="D150">
        <v>42</v>
      </c>
      <c r="E150" s="2">
        <v>42071</v>
      </c>
      <c r="F150">
        <v>80761</v>
      </c>
      <c r="G150">
        <f>F150*0.12</f>
        <v>9691.32</v>
      </c>
      <c r="H150">
        <v>5</v>
      </c>
      <c r="I150" t="str">
        <f>IF(H150&gt;=4,"yes","no")</f>
        <v>yes</v>
      </c>
      <c r="J150" t="str">
        <f>IF(AND(D150&gt;30,H150&gt;=4),"yes","no")</f>
        <v>yes</v>
      </c>
      <c r="K150" t="s">
        <v>23</v>
      </c>
      <c r="L150">
        <v>29</v>
      </c>
    </row>
    <row r="151" spans="1:12" x14ac:dyDescent="0.35">
      <c r="A151">
        <v>1550</v>
      </c>
      <c r="B151" t="s">
        <v>567</v>
      </c>
      <c r="C151" t="s">
        <v>641</v>
      </c>
      <c r="D151">
        <v>38</v>
      </c>
      <c r="E151" s="2">
        <v>42554</v>
      </c>
      <c r="F151">
        <v>80230</v>
      </c>
      <c r="G151">
        <f>F151*0.12</f>
        <v>9627.6</v>
      </c>
      <c r="H151">
        <v>2</v>
      </c>
      <c r="I151" t="str">
        <f>IF(H151&gt;=4,"yes","no")</f>
        <v>no</v>
      </c>
      <c r="J151" t="str">
        <f>IF(AND(D151&gt;30,H151&gt;=4),"yes","no")</f>
        <v>no</v>
      </c>
      <c r="K151" t="s">
        <v>19</v>
      </c>
      <c r="L151">
        <v>16</v>
      </c>
    </row>
    <row r="152" spans="1:12" hidden="1" x14ac:dyDescent="0.35">
      <c r="A152">
        <v>1185</v>
      </c>
      <c r="B152" t="s">
        <v>202</v>
      </c>
      <c r="C152" t="s">
        <v>641</v>
      </c>
      <c r="D152">
        <v>47</v>
      </c>
      <c r="E152" s="2">
        <v>42189</v>
      </c>
      <c r="F152">
        <v>79842</v>
      </c>
      <c r="G152">
        <f>F152*0.12</f>
        <v>9581.0399999999991</v>
      </c>
      <c r="H152">
        <v>3</v>
      </c>
      <c r="I152" t="str">
        <f>IF(H152&gt;=4,"yes","no")</f>
        <v>no</v>
      </c>
      <c r="J152" t="str">
        <f>IF(AND(D152&gt;30,H152&gt;=4),"yes","no")</f>
        <v>no</v>
      </c>
      <c r="K152" t="s">
        <v>14</v>
      </c>
      <c r="L152">
        <v>9</v>
      </c>
    </row>
    <row r="153" spans="1:12" hidden="1" x14ac:dyDescent="0.35">
      <c r="A153">
        <v>1437</v>
      </c>
      <c r="B153" t="s">
        <v>454</v>
      </c>
      <c r="C153" t="s">
        <v>641</v>
      </c>
      <c r="D153">
        <v>45</v>
      </c>
      <c r="E153" s="2">
        <v>42441</v>
      </c>
      <c r="F153">
        <v>79615</v>
      </c>
      <c r="G153">
        <f>F153*0.12</f>
        <v>9553.7999999999993</v>
      </c>
      <c r="H153">
        <v>2</v>
      </c>
      <c r="I153" t="str">
        <f>IF(H153&gt;=4,"yes","no")</f>
        <v>no</v>
      </c>
      <c r="J153" t="str">
        <f>IF(AND(D153&gt;30,H153&gt;=4),"yes","no")</f>
        <v>no</v>
      </c>
      <c r="K153" t="s">
        <v>14</v>
      </c>
      <c r="L153">
        <v>5</v>
      </c>
    </row>
    <row r="154" spans="1:12" hidden="1" x14ac:dyDescent="0.35">
      <c r="A154">
        <v>1421</v>
      </c>
      <c r="B154" t="s">
        <v>438</v>
      </c>
      <c r="C154" t="s">
        <v>641</v>
      </c>
      <c r="D154">
        <v>30</v>
      </c>
      <c r="E154" s="2">
        <v>42425</v>
      </c>
      <c r="F154">
        <v>78625</v>
      </c>
      <c r="G154">
        <f>F154*0.12</f>
        <v>9435</v>
      </c>
      <c r="H154">
        <v>2</v>
      </c>
      <c r="I154" t="str">
        <f>IF(H154&gt;=4,"yes","no")</f>
        <v>no</v>
      </c>
      <c r="J154" t="str">
        <f>IF(AND(D154&gt;30,H154&gt;=4),"yes","no")</f>
        <v>no</v>
      </c>
      <c r="K154" t="s">
        <v>14</v>
      </c>
      <c r="L154">
        <v>12</v>
      </c>
    </row>
    <row r="155" spans="1:12" hidden="1" x14ac:dyDescent="0.35">
      <c r="A155">
        <v>1378</v>
      </c>
      <c r="B155" t="s">
        <v>395</v>
      </c>
      <c r="C155" t="s">
        <v>641</v>
      </c>
      <c r="D155">
        <v>52</v>
      </c>
      <c r="E155" s="2">
        <v>42382</v>
      </c>
      <c r="F155">
        <v>77930</v>
      </c>
      <c r="G155">
        <f>F155*0.12</f>
        <v>9351.6</v>
      </c>
      <c r="H155">
        <v>5</v>
      </c>
      <c r="I155" t="str">
        <f>IF(H155&gt;=4,"yes","no")</f>
        <v>yes</v>
      </c>
      <c r="J155" t="str">
        <f>IF(AND(D155&gt;30,H155&gt;=4),"yes","no")</f>
        <v>yes</v>
      </c>
      <c r="K155" t="s">
        <v>14</v>
      </c>
      <c r="L155">
        <v>18</v>
      </c>
    </row>
    <row r="156" spans="1:12" hidden="1" x14ac:dyDescent="0.35">
      <c r="A156">
        <v>1104</v>
      </c>
      <c r="B156" t="s">
        <v>121</v>
      </c>
      <c r="C156" t="s">
        <v>641</v>
      </c>
      <c r="D156">
        <v>44</v>
      </c>
      <c r="E156" s="2">
        <v>42108</v>
      </c>
      <c r="F156">
        <v>77375</v>
      </c>
      <c r="G156">
        <f>F156*0.12</f>
        <v>9285</v>
      </c>
      <c r="H156">
        <v>1</v>
      </c>
      <c r="I156" t="str">
        <f>IF(H156&gt;=4,"yes","no")</f>
        <v>no</v>
      </c>
      <c r="J156" t="str">
        <f>IF(AND(D156&gt;30,H156&gt;=4),"yes","no")</f>
        <v>no</v>
      </c>
      <c r="K156" t="s">
        <v>23</v>
      </c>
      <c r="L156">
        <v>27</v>
      </c>
    </row>
    <row r="157" spans="1:12" hidden="1" x14ac:dyDescent="0.35">
      <c r="A157">
        <v>1139</v>
      </c>
      <c r="B157" t="s">
        <v>156</v>
      </c>
      <c r="C157" t="s">
        <v>641</v>
      </c>
      <c r="D157">
        <v>34</v>
      </c>
      <c r="E157" s="2">
        <v>42143</v>
      </c>
      <c r="F157">
        <v>76184</v>
      </c>
      <c r="G157">
        <f>F157*0.12</f>
        <v>9142.08</v>
      </c>
      <c r="H157">
        <v>1</v>
      </c>
      <c r="I157" t="str">
        <f>IF(H157&gt;=4,"yes","no")</f>
        <v>no</v>
      </c>
      <c r="J157" t="str">
        <f>IF(AND(D157&gt;30,H157&gt;=4),"yes","no")</f>
        <v>no</v>
      </c>
      <c r="K157" t="s">
        <v>19</v>
      </c>
      <c r="L157">
        <v>2</v>
      </c>
    </row>
    <row r="158" spans="1:12" hidden="1" x14ac:dyDescent="0.35">
      <c r="A158">
        <v>1371</v>
      </c>
      <c r="B158" t="s">
        <v>388</v>
      </c>
      <c r="C158" t="s">
        <v>641</v>
      </c>
      <c r="D158">
        <v>29</v>
      </c>
      <c r="E158" s="2">
        <v>42375</v>
      </c>
      <c r="F158">
        <v>75975</v>
      </c>
      <c r="G158">
        <f>F158*0.12</f>
        <v>9117</v>
      </c>
      <c r="H158">
        <v>5</v>
      </c>
      <c r="I158" t="str">
        <f>IF(H158&gt;=4,"yes","no")</f>
        <v>yes</v>
      </c>
      <c r="J158" t="str">
        <f>IF(AND(D158&gt;30,H158&gt;=4),"yes","no")</f>
        <v>no</v>
      </c>
      <c r="K158" t="s">
        <v>23</v>
      </c>
      <c r="L158">
        <v>2</v>
      </c>
    </row>
    <row r="159" spans="1:12" hidden="1" x14ac:dyDescent="0.35">
      <c r="A159">
        <v>1149</v>
      </c>
      <c r="B159" t="s">
        <v>166</v>
      </c>
      <c r="C159" t="s">
        <v>641</v>
      </c>
      <c r="D159">
        <v>46</v>
      </c>
      <c r="E159" s="2">
        <v>42153</v>
      </c>
      <c r="F159">
        <v>75072</v>
      </c>
      <c r="G159">
        <f>F159*0.12</f>
        <v>9008.64</v>
      </c>
      <c r="H159">
        <v>1</v>
      </c>
      <c r="I159" t="str">
        <f>IF(H159&gt;=4,"yes","no")</f>
        <v>no</v>
      </c>
      <c r="J159" t="str">
        <f>IF(AND(D159&gt;30,H159&gt;=4),"yes","no")</f>
        <v>no</v>
      </c>
      <c r="K159" t="s">
        <v>17</v>
      </c>
      <c r="L159">
        <v>7</v>
      </c>
    </row>
    <row r="160" spans="1:12" hidden="1" x14ac:dyDescent="0.35">
      <c r="A160">
        <v>1456</v>
      </c>
      <c r="B160" t="s">
        <v>473</v>
      </c>
      <c r="C160" t="s">
        <v>641</v>
      </c>
      <c r="D160">
        <v>53</v>
      </c>
      <c r="E160" s="2">
        <v>42460</v>
      </c>
      <c r="F160">
        <v>74930</v>
      </c>
      <c r="G160">
        <f>F160*0.12</f>
        <v>8991.6</v>
      </c>
      <c r="H160">
        <v>4</v>
      </c>
      <c r="I160" t="str">
        <f>IF(H160&gt;=4,"yes","no")</f>
        <v>yes</v>
      </c>
      <c r="J160" t="str">
        <f>IF(AND(D160&gt;30,H160&gt;=4),"yes","no")</f>
        <v>yes</v>
      </c>
      <c r="K160" t="s">
        <v>19</v>
      </c>
      <c r="L160">
        <v>21</v>
      </c>
    </row>
    <row r="161" spans="1:12" hidden="1" x14ac:dyDescent="0.35">
      <c r="A161">
        <v>1473</v>
      </c>
      <c r="B161" t="s">
        <v>490</v>
      </c>
      <c r="C161" t="s">
        <v>641</v>
      </c>
      <c r="D161">
        <v>51</v>
      </c>
      <c r="E161" s="2">
        <v>42477</v>
      </c>
      <c r="F161">
        <v>74153</v>
      </c>
      <c r="G161">
        <f>F161*0.12</f>
        <v>8898.3599999999988</v>
      </c>
      <c r="H161">
        <v>2</v>
      </c>
      <c r="I161" t="str">
        <f>IF(H161&gt;=4,"yes","no")</f>
        <v>no</v>
      </c>
      <c r="J161" t="str">
        <f>IF(AND(D161&gt;30,H161&gt;=4),"yes","no")</f>
        <v>no</v>
      </c>
      <c r="K161" t="s">
        <v>17</v>
      </c>
      <c r="L161">
        <v>21</v>
      </c>
    </row>
    <row r="162" spans="1:12" hidden="1" x14ac:dyDescent="0.35">
      <c r="A162">
        <v>1387</v>
      </c>
      <c r="B162" t="s">
        <v>404</v>
      </c>
      <c r="C162" t="s">
        <v>641</v>
      </c>
      <c r="D162">
        <v>59</v>
      </c>
      <c r="E162" s="2">
        <v>42391</v>
      </c>
      <c r="F162">
        <v>73901</v>
      </c>
      <c r="G162">
        <f>F162*0.12</f>
        <v>8868.119999999999</v>
      </c>
      <c r="H162">
        <v>3</v>
      </c>
      <c r="I162" t="str">
        <f>IF(H162&gt;=4,"yes","no")</f>
        <v>no</v>
      </c>
      <c r="J162" t="str">
        <f>IF(AND(D162&gt;30,H162&gt;=4),"yes","no")</f>
        <v>no</v>
      </c>
      <c r="K162" t="s">
        <v>14</v>
      </c>
      <c r="L162">
        <v>2</v>
      </c>
    </row>
    <row r="163" spans="1:12" hidden="1" x14ac:dyDescent="0.35">
      <c r="A163">
        <v>1466</v>
      </c>
      <c r="B163" t="s">
        <v>483</v>
      </c>
      <c r="C163" t="s">
        <v>641</v>
      </c>
      <c r="D163">
        <v>37</v>
      </c>
      <c r="E163" s="2">
        <v>42470</v>
      </c>
      <c r="F163">
        <v>73787</v>
      </c>
      <c r="G163">
        <f>F163*0.12</f>
        <v>8854.44</v>
      </c>
      <c r="H163">
        <v>5</v>
      </c>
      <c r="I163" t="str">
        <f>IF(H163&gt;=4,"yes","no")</f>
        <v>yes</v>
      </c>
      <c r="J163" t="str">
        <f>IF(AND(D163&gt;30,H163&gt;=4),"yes","no")</f>
        <v>yes</v>
      </c>
      <c r="K163" t="s">
        <v>19</v>
      </c>
      <c r="L163">
        <v>12</v>
      </c>
    </row>
    <row r="164" spans="1:12" hidden="1" x14ac:dyDescent="0.35">
      <c r="A164">
        <v>1426</v>
      </c>
      <c r="B164" t="s">
        <v>443</v>
      </c>
      <c r="C164" t="s">
        <v>641</v>
      </c>
      <c r="D164">
        <v>46</v>
      </c>
      <c r="E164" s="2">
        <v>42430</v>
      </c>
      <c r="F164">
        <v>72837</v>
      </c>
      <c r="G164">
        <f>F164*0.12</f>
        <v>8740.44</v>
      </c>
      <c r="H164">
        <v>2</v>
      </c>
      <c r="I164" t="str">
        <f>IF(H164&gt;=4,"yes","no")</f>
        <v>no</v>
      </c>
      <c r="J164" t="str">
        <f>IF(AND(D164&gt;30,H164&gt;=4),"yes","no")</f>
        <v>no</v>
      </c>
      <c r="K164" t="s">
        <v>17</v>
      </c>
      <c r="L164">
        <v>26</v>
      </c>
    </row>
    <row r="165" spans="1:12" hidden="1" x14ac:dyDescent="0.35">
      <c r="A165">
        <v>1459</v>
      </c>
      <c r="B165" t="s">
        <v>476</v>
      </c>
      <c r="C165" t="s">
        <v>641</v>
      </c>
      <c r="D165">
        <v>44</v>
      </c>
      <c r="E165" s="2">
        <v>42463</v>
      </c>
      <c r="F165">
        <v>71167</v>
      </c>
      <c r="G165">
        <f>F165*0.12</f>
        <v>8540.0399999999991</v>
      </c>
      <c r="H165">
        <v>2</v>
      </c>
      <c r="I165" t="str">
        <f>IF(H165&gt;=4,"yes","no")</f>
        <v>no</v>
      </c>
      <c r="J165" t="str">
        <f>IF(AND(D165&gt;30,H165&gt;=4),"yes","no")</f>
        <v>no</v>
      </c>
      <c r="K165" t="s">
        <v>19</v>
      </c>
      <c r="L165">
        <v>20</v>
      </c>
    </row>
    <row r="166" spans="1:12" hidden="1" x14ac:dyDescent="0.35">
      <c r="A166">
        <v>1548</v>
      </c>
      <c r="B166" t="s">
        <v>565</v>
      </c>
      <c r="C166" t="s">
        <v>641</v>
      </c>
      <c r="D166">
        <v>44</v>
      </c>
      <c r="E166" s="2">
        <v>42552</v>
      </c>
      <c r="F166">
        <v>70500</v>
      </c>
      <c r="G166">
        <f>F166*0.12</f>
        <v>8460</v>
      </c>
      <c r="H166">
        <v>4</v>
      </c>
      <c r="I166" t="str">
        <f>IF(H166&gt;=4,"yes","no")</f>
        <v>yes</v>
      </c>
      <c r="J166" t="str">
        <f>IF(AND(D166&gt;30,H166&gt;=4),"yes","no")</f>
        <v>yes</v>
      </c>
      <c r="K166" t="s">
        <v>11</v>
      </c>
      <c r="L166">
        <v>12</v>
      </c>
    </row>
    <row r="167" spans="1:12" hidden="1" x14ac:dyDescent="0.35">
      <c r="A167">
        <v>1016</v>
      </c>
      <c r="B167" t="s">
        <v>32</v>
      </c>
      <c r="C167" t="s">
        <v>641</v>
      </c>
      <c r="D167">
        <v>33</v>
      </c>
      <c r="E167" s="2">
        <v>42020</v>
      </c>
      <c r="F167">
        <v>70420</v>
      </c>
      <c r="G167">
        <f>F167*0.12</f>
        <v>8450.4</v>
      </c>
      <c r="H167">
        <v>5</v>
      </c>
      <c r="I167" t="str">
        <f>IF(H167&gt;=4,"yes","no")</f>
        <v>yes</v>
      </c>
      <c r="J167" t="str">
        <f>IF(AND(D167&gt;30,H167&gt;=4),"yes","no")</f>
        <v>yes</v>
      </c>
      <c r="K167" t="s">
        <v>17</v>
      </c>
      <c r="L167">
        <v>3</v>
      </c>
    </row>
    <row r="168" spans="1:12" hidden="1" x14ac:dyDescent="0.35">
      <c r="A168">
        <v>1117</v>
      </c>
      <c r="B168" t="s">
        <v>134</v>
      </c>
      <c r="C168" t="s">
        <v>641</v>
      </c>
      <c r="D168">
        <v>36</v>
      </c>
      <c r="E168" s="2">
        <v>42121</v>
      </c>
      <c r="F168">
        <v>69547</v>
      </c>
      <c r="G168">
        <f>F168*0.12</f>
        <v>8345.64</v>
      </c>
      <c r="H168">
        <v>1</v>
      </c>
      <c r="I168" t="str">
        <f>IF(H168&gt;=4,"yes","no")</f>
        <v>no</v>
      </c>
      <c r="J168" t="str">
        <f>IF(AND(D168&gt;30,H168&gt;=4),"yes","no")</f>
        <v>no</v>
      </c>
      <c r="K168" t="s">
        <v>17</v>
      </c>
      <c r="L168">
        <v>27</v>
      </c>
    </row>
    <row r="169" spans="1:12" hidden="1" x14ac:dyDescent="0.35">
      <c r="A169">
        <v>1379</v>
      </c>
      <c r="B169" t="s">
        <v>396</v>
      </c>
      <c r="C169" t="s">
        <v>641</v>
      </c>
      <c r="D169">
        <v>57</v>
      </c>
      <c r="E169" s="2">
        <v>42383</v>
      </c>
      <c r="F169">
        <v>69413</v>
      </c>
      <c r="G169">
        <f>F169*0.12</f>
        <v>8329.56</v>
      </c>
      <c r="H169">
        <v>3</v>
      </c>
      <c r="I169" t="str">
        <f>IF(H169&gt;=4,"yes","no")</f>
        <v>no</v>
      </c>
      <c r="J169" t="str">
        <f>IF(AND(D169&gt;30,H169&gt;=4),"yes","no")</f>
        <v>no</v>
      </c>
      <c r="K169" t="s">
        <v>14</v>
      </c>
      <c r="L169">
        <v>17</v>
      </c>
    </row>
    <row r="170" spans="1:12" hidden="1" x14ac:dyDescent="0.35">
      <c r="A170">
        <v>1352</v>
      </c>
      <c r="B170" t="s">
        <v>369</v>
      </c>
      <c r="C170" t="s">
        <v>641</v>
      </c>
      <c r="D170">
        <v>59</v>
      </c>
      <c r="E170" s="2">
        <v>42356</v>
      </c>
      <c r="F170">
        <v>69064</v>
      </c>
      <c r="G170">
        <f>F170*0.12</f>
        <v>8287.68</v>
      </c>
      <c r="H170">
        <v>2</v>
      </c>
      <c r="I170" t="str">
        <f>IF(H170&gt;=4,"yes","no")</f>
        <v>no</v>
      </c>
      <c r="J170" t="str">
        <f>IF(AND(D170&gt;30,H170&gt;=4),"yes","no")</f>
        <v>no</v>
      </c>
      <c r="K170" t="s">
        <v>19</v>
      </c>
      <c r="L170">
        <v>28</v>
      </c>
    </row>
    <row r="171" spans="1:12" hidden="1" x14ac:dyDescent="0.35">
      <c r="A171">
        <v>1579</v>
      </c>
      <c r="B171" t="s">
        <v>596</v>
      </c>
      <c r="C171" t="s">
        <v>641</v>
      </c>
      <c r="D171">
        <v>48</v>
      </c>
      <c r="E171" s="2">
        <v>42583</v>
      </c>
      <c r="F171">
        <v>67229</v>
      </c>
      <c r="G171">
        <f>F171*0.12</f>
        <v>8067.48</v>
      </c>
      <c r="H171">
        <v>5</v>
      </c>
      <c r="I171" t="str">
        <f>IF(H171&gt;=4,"yes","no")</f>
        <v>yes</v>
      </c>
      <c r="J171" t="str">
        <f>IF(AND(D171&gt;30,H171&gt;=4),"yes","no")</f>
        <v>yes</v>
      </c>
      <c r="K171" t="s">
        <v>19</v>
      </c>
      <c r="L171">
        <v>10</v>
      </c>
    </row>
    <row r="172" spans="1:12" hidden="1" x14ac:dyDescent="0.35">
      <c r="A172">
        <v>1450</v>
      </c>
      <c r="B172" t="s">
        <v>467</v>
      </c>
      <c r="C172" t="s">
        <v>641</v>
      </c>
      <c r="D172">
        <v>41</v>
      </c>
      <c r="E172" s="2">
        <v>42454</v>
      </c>
      <c r="F172">
        <v>66688</v>
      </c>
      <c r="G172">
        <f>F172*0.12</f>
        <v>8002.5599999999995</v>
      </c>
      <c r="H172">
        <v>4</v>
      </c>
      <c r="I172" t="str">
        <f>IF(H172&gt;=4,"yes","no")</f>
        <v>yes</v>
      </c>
      <c r="J172" t="str">
        <f>IF(AND(D172&gt;30,H172&gt;=4),"yes","no")</f>
        <v>yes</v>
      </c>
      <c r="K172" t="s">
        <v>23</v>
      </c>
      <c r="L172">
        <v>22</v>
      </c>
    </row>
    <row r="173" spans="1:12" hidden="1" x14ac:dyDescent="0.35">
      <c r="A173">
        <v>1462</v>
      </c>
      <c r="B173" t="s">
        <v>479</v>
      </c>
      <c r="C173" t="s">
        <v>641</v>
      </c>
      <c r="D173">
        <v>51</v>
      </c>
      <c r="E173" s="2">
        <v>42466</v>
      </c>
      <c r="F173">
        <v>64499</v>
      </c>
      <c r="G173">
        <f>F173*0.12</f>
        <v>7739.88</v>
      </c>
      <c r="H173">
        <v>5</v>
      </c>
      <c r="I173" t="str">
        <f>IF(H173&gt;=4,"yes","no")</f>
        <v>yes</v>
      </c>
      <c r="J173" t="str">
        <f>IF(AND(D173&gt;30,H173&gt;=4),"yes","no")</f>
        <v>yes</v>
      </c>
      <c r="K173" t="s">
        <v>14</v>
      </c>
      <c r="L173">
        <v>16</v>
      </c>
    </row>
    <row r="174" spans="1:12" hidden="1" x14ac:dyDescent="0.35">
      <c r="A174">
        <v>1418</v>
      </c>
      <c r="B174" t="s">
        <v>435</v>
      </c>
      <c r="C174" t="s">
        <v>641</v>
      </c>
      <c r="D174">
        <v>22</v>
      </c>
      <c r="E174" s="2">
        <v>42422</v>
      </c>
      <c r="F174">
        <v>63827</v>
      </c>
      <c r="G174">
        <f>F174*0.12</f>
        <v>7659.24</v>
      </c>
      <c r="H174">
        <v>4</v>
      </c>
      <c r="I174" t="str">
        <f>IF(H174&gt;=4,"yes","no")</f>
        <v>yes</v>
      </c>
      <c r="J174" t="str">
        <f>IF(AND(D174&gt;30,H174&gt;=4),"yes","no")</f>
        <v>no</v>
      </c>
      <c r="K174" t="s">
        <v>19</v>
      </c>
      <c r="L174">
        <v>13</v>
      </c>
    </row>
    <row r="175" spans="1:12" hidden="1" x14ac:dyDescent="0.35">
      <c r="A175">
        <v>1464</v>
      </c>
      <c r="B175" t="s">
        <v>481</v>
      </c>
      <c r="C175" t="s">
        <v>641</v>
      </c>
      <c r="D175">
        <v>50</v>
      </c>
      <c r="E175" s="2">
        <v>42468</v>
      </c>
      <c r="F175">
        <v>63559</v>
      </c>
      <c r="G175">
        <f>F175*0.12</f>
        <v>7627.08</v>
      </c>
      <c r="H175">
        <v>3</v>
      </c>
      <c r="I175" t="str">
        <f>IF(H175&gt;=4,"yes","no")</f>
        <v>no</v>
      </c>
      <c r="J175" t="str">
        <f>IF(AND(D175&gt;30,H175&gt;=4),"yes","no")</f>
        <v>no</v>
      </c>
      <c r="K175" t="s">
        <v>11</v>
      </c>
      <c r="L175">
        <v>29</v>
      </c>
    </row>
    <row r="176" spans="1:12" hidden="1" x14ac:dyDescent="0.35">
      <c r="A176">
        <v>1098</v>
      </c>
      <c r="B176" t="s">
        <v>115</v>
      </c>
      <c r="C176" t="s">
        <v>641</v>
      </c>
      <c r="D176">
        <v>33</v>
      </c>
      <c r="E176" s="2">
        <v>42102</v>
      </c>
      <c r="F176">
        <v>62265</v>
      </c>
      <c r="G176">
        <f>F176*0.12</f>
        <v>7471.7999999999993</v>
      </c>
      <c r="H176">
        <v>2</v>
      </c>
      <c r="I176" t="str">
        <f>IF(H176&gt;=4,"yes","no")</f>
        <v>no</v>
      </c>
      <c r="J176" t="str">
        <f>IF(AND(D176&gt;30,H176&gt;=4),"yes","no")</f>
        <v>no</v>
      </c>
      <c r="K176" t="s">
        <v>11</v>
      </c>
      <c r="L176">
        <v>29</v>
      </c>
    </row>
    <row r="177" spans="1:12" hidden="1" x14ac:dyDescent="0.35">
      <c r="A177">
        <v>1049</v>
      </c>
      <c r="B177" t="s">
        <v>66</v>
      </c>
      <c r="C177" t="s">
        <v>641</v>
      </c>
      <c r="D177">
        <v>31</v>
      </c>
      <c r="E177" s="2">
        <v>42053</v>
      </c>
      <c r="F177">
        <v>61408</v>
      </c>
      <c r="G177">
        <f>F177*0.12</f>
        <v>7368.96</v>
      </c>
      <c r="H177">
        <v>2</v>
      </c>
      <c r="I177" t="str">
        <f>IF(H177&gt;=4,"yes","no")</f>
        <v>no</v>
      </c>
      <c r="J177" t="str">
        <f>IF(AND(D177&gt;30,H177&gt;=4),"yes","no")</f>
        <v>no</v>
      </c>
      <c r="K177" t="s">
        <v>14</v>
      </c>
      <c r="L177">
        <v>24</v>
      </c>
    </row>
    <row r="178" spans="1:12" hidden="1" x14ac:dyDescent="0.35">
      <c r="A178">
        <v>1467</v>
      </c>
      <c r="B178" t="s">
        <v>484</v>
      </c>
      <c r="C178" t="s">
        <v>641</v>
      </c>
      <c r="D178">
        <v>40</v>
      </c>
      <c r="E178" s="2">
        <v>42471</v>
      </c>
      <c r="F178">
        <v>60488</v>
      </c>
      <c r="G178">
        <f>F178*0.12</f>
        <v>7258.5599999999995</v>
      </c>
      <c r="H178">
        <v>5</v>
      </c>
      <c r="I178" t="str">
        <f>IF(H178&gt;=4,"yes","no")</f>
        <v>yes</v>
      </c>
      <c r="J178" t="str">
        <f>IF(AND(D178&gt;30,H178&gt;=4),"yes","no")</f>
        <v>yes</v>
      </c>
      <c r="K178" t="s">
        <v>19</v>
      </c>
      <c r="L178">
        <v>20</v>
      </c>
    </row>
    <row r="179" spans="1:12" hidden="1" x14ac:dyDescent="0.35">
      <c r="A179">
        <v>1431</v>
      </c>
      <c r="B179" t="s">
        <v>448</v>
      </c>
      <c r="C179" t="s">
        <v>641</v>
      </c>
      <c r="D179">
        <v>28</v>
      </c>
      <c r="E179" s="2">
        <v>42435</v>
      </c>
      <c r="F179">
        <v>59531</v>
      </c>
      <c r="G179">
        <f>F179*0.12</f>
        <v>7143.7199999999993</v>
      </c>
      <c r="H179">
        <v>3</v>
      </c>
      <c r="I179" t="str">
        <f>IF(H179&gt;=4,"yes","no")</f>
        <v>no</v>
      </c>
      <c r="J179" t="str">
        <f>IF(AND(D179&gt;30,H179&gt;=4),"yes","no")</f>
        <v>no</v>
      </c>
      <c r="K179" t="s">
        <v>19</v>
      </c>
      <c r="L179">
        <v>16</v>
      </c>
    </row>
    <row r="180" spans="1:12" hidden="1" x14ac:dyDescent="0.35">
      <c r="A180">
        <v>1191</v>
      </c>
      <c r="B180" t="s">
        <v>208</v>
      </c>
      <c r="C180" t="s">
        <v>641</v>
      </c>
      <c r="D180">
        <v>47</v>
      </c>
      <c r="E180" s="2">
        <v>42195</v>
      </c>
      <c r="F180">
        <v>59157</v>
      </c>
      <c r="G180">
        <f>F180*0.12</f>
        <v>7098.84</v>
      </c>
      <c r="H180">
        <v>2</v>
      </c>
      <c r="I180" t="str">
        <f>IF(H180&gt;=4,"yes","no")</f>
        <v>no</v>
      </c>
      <c r="J180" t="str">
        <f>IF(AND(D180&gt;30,H180&gt;=4),"yes","no")</f>
        <v>no</v>
      </c>
      <c r="K180" t="s">
        <v>14</v>
      </c>
      <c r="L180">
        <v>27</v>
      </c>
    </row>
    <row r="181" spans="1:12" hidden="1" x14ac:dyDescent="0.35">
      <c r="A181">
        <v>1381</v>
      </c>
      <c r="B181" t="s">
        <v>398</v>
      </c>
      <c r="C181" t="s">
        <v>641</v>
      </c>
      <c r="D181">
        <v>47</v>
      </c>
      <c r="E181" s="2">
        <v>42385</v>
      </c>
      <c r="F181">
        <v>58756</v>
      </c>
      <c r="G181">
        <f>F181*0.12</f>
        <v>7050.7199999999993</v>
      </c>
      <c r="H181">
        <v>3</v>
      </c>
      <c r="I181" t="str">
        <f>IF(H181&gt;=4,"yes","no")</f>
        <v>no</v>
      </c>
      <c r="J181" t="str">
        <f>IF(AND(D181&gt;30,H181&gt;=4),"yes","no")</f>
        <v>no</v>
      </c>
      <c r="K181" t="s">
        <v>11</v>
      </c>
      <c r="L181">
        <v>25</v>
      </c>
    </row>
    <row r="182" spans="1:12" hidden="1" x14ac:dyDescent="0.35">
      <c r="A182">
        <v>1221</v>
      </c>
      <c r="B182" t="s">
        <v>238</v>
      </c>
      <c r="C182" t="s">
        <v>641</v>
      </c>
      <c r="D182">
        <v>58</v>
      </c>
      <c r="E182" s="2">
        <v>42225</v>
      </c>
      <c r="F182">
        <v>58660</v>
      </c>
      <c r="G182">
        <f>F182*0.12</f>
        <v>7039.2</v>
      </c>
      <c r="H182">
        <v>4</v>
      </c>
      <c r="I182" t="str">
        <f>IF(H182&gt;=4,"yes","no")</f>
        <v>yes</v>
      </c>
      <c r="J182" t="str">
        <f>IF(AND(D182&gt;30,H182&gt;=4),"yes","no")</f>
        <v>yes</v>
      </c>
      <c r="K182" t="s">
        <v>11</v>
      </c>
      <c r="L182">
        <v>26</v>
      </c>
    </row>
    <row r="183" spans="1:12" hidden="1" x14ac:dyDescent="0.35">
      <c r="A183">
        <v>1138</v>
      </c>
      <c r="B183" t="s">
        <v>155</v>
      </c>
      <c r="C183" t="s">
        <v>641</v>
      </c>
      <c r="D183">
        <v>23</v>
      </c>
      <c r="E183" s="2">
        <v>42142</v>
      </c>
      <c r="F183">
        <v>54629</v>
      </c>
      <c r="G183">
        <f>F183*0.12</f>
        <v>6555.48</v>
      </c>
      <c r="H183">
        <v>5</v>
      </c>
      <c r="I183" t="str">
        <f>IF(H183&gt;=4,"yes","no")</f>
        <v>yes</v>
      </c>
      <c r="J183" t="str">
        <f>IF(AND(D183&gt;30,H183&gt;=4),"yes","no")</f>
        <v>no</v>
      </c>
      <c r="K183" t="s">
        <v>17</v>
      </c>
      <c r="L183">
        <v>27</v>
      </c>
    </row>
    <row r="184" spans="1:12" hidden="1" x14ac:dyDescent="0.35">
      <c r="A184">
        <v>1318</v>
      </c>
      <c r="B184" t="s">
        <v>335</v>
      </c>
      <c r="C184" t="s">
        <v>641</v>
      </c>
      <c r="D184">
        <v>58</v>
      </c>
      <c r="E184" s="2">
        <v>42322</v>
      </c>
      <c r="F184">
        <v>54257</v>
      </c>
      <c r="G184">
        <f>F184*0.12</f>
        <v>6510.84</v>
      </c>
      <c r="H184">
        <v>4</v>
      </c>
      <c r="I184" t="str">
        <f>IF(H184&gt;=4,"yes","no")</f>
        <v>yes</v>
      </c>
      <c r="J184" t="str">
        <f>IF(AND(D184&gt;30,H184&gt;=4),"yes","no")</f>
        <v>yes</v>
      </c>
      <c r="K184" t="s">
        <v>14</v>
      </c>
      <c r="L184">
        <v>18</v>
      </c>
    </row>
    <row r="185" spans="1:12" hidden="1" x14ac:dyDescent="0.35">
      <c r="A185">
        <v>1236</v>
      </c>
      <c r="B185" t="s">
        <v>253</v>
      </c>
      <c r="C185" t="s">
        <v>641</v>
      </c>
      <c r="D185">
        <v>52</v>
      </c>
      <c r="E185" s="2">
        <v>42240</v>
      </c>
      <c r="F185">
        <v>54192</v>
      </c>
      <c r="G185">
        <f>F185*0.12</f>
        <v>6503.04</v>
      </c>
      <c r="H185">
        <v>1</v>
      </c>
      <c r="I185" t="str">
        <f>IF(H185&gt;=4,"yes","no")</f>
        <v>no</v>
      </c>
      <c r="J185" t="str">
        <f>IF(AND(D185&gt;30,H185&gt;=4),"yes","no")</f>
        <v>no</v>
      </c>
      <c r="K185" t="s">
        <v>19</v>
      </c>
      <c r="L185">
        <v>10</v>
      </c>
    </row>
    <row r="186" spans="1:12" hidden="1" x14ac:dyDescent="0.35">
      <c r="A186">
        <v>1532</v>
      </c>
      <c r="B186" t="s">
        <v>549</v>
      </c>
      <c r="C186" t="s">
        <v>641</v>
      </c>
      <c r="D186">
        <v>24</v>
      </c>
      <c r="E186" s="2">
        <v>42536</v>
      </c>
      <c r="F186">
        <v>53380</v>
      </c>
      <c r="G186">
        <f>F186*0.12</f>
        <v>6405.5999999999995</v>
      </c>
      <c r="H186">
        <v>4</v>
      </c>
      <c r="I186" t="str">
        <f>IF(H186&gt;=4,"yes","no")</f>
        <v>yes</v>
      </c>
      <c r="J186" t="str">
        <f>IF(AND(D186&gt;30,H186&gt;=4),"yes","no")</f>
        <v>no</v>
      </c>
      <c r="K186" t="s">
        <v>23</v>
      </c>
      <c r="L186">
        <v>28</v>
      </c>
    </row>
    <row r="187" spans="1:12" hidden="1" x14ac:dyDescent="0.35">
      <c r="A187">
        <v>1121</v>
      </c>
      <c r="B187" t="s">
        <v>138</v>
      </c>
      <c r="C187" t="s">
        <v>641</v>
      </c>
      <c r="D187">
        <v>54</v>
      </c>
      <c r="E187" s="2">
        <v>42125</v>
      </c>
      <c r="F187">
        <v>52345</v>
      </c>
      <c r="G187">
        <f>F187*0.12</f>
        <v>6281.4</v>
      </c>
      <c r="H187">
        <v>5</v>
      </c>
      <c r="I187" t="str">
        <f>IF(H187&gt;=4,"yes","no")</f>
        <v>yes</v>
      </c>
      <c r="J187" t="str">
        <f>IF(AND(D187&gt;30,H187&gt;=4),"yes","no")</f>
        <v>yes</v>
      </c>
      <c r="K187" t="s">
        <v>19</v>
      </c>
      <c r="L187">
        <v>1</v>
      </c>
    </row>
    <row r="188" spans="1:12" hidden="1" x14ac:dyDescent="0.35">
      <c r="A188">
        <v>1349</v>
      </c>
      <c r="B188" t="s">
        <v>366</v>
      </c>
      <c r="C188" t="s">
        <v>641</v>
      </c>
      <c r="D188">
        <v>48</v>
      </c>
      <c r="E188" s="2">
        <v>42353</v>
      </c>
      <c r="F188">
        <v>52083</v>
      </c>
      <c r="G188">
        <f>F188*0.12</f>
        <v>6249.96</v>
      </c>
      <c r="H188">
        <v>5</v>
      </c>
      <c r="I188" t="str">
        <f>IF(H188&gt;=4,"yes","no")</f>
        <v>yes</v>
      </c>
      <c r="J188" t="str">
        <f>IF(AND(D188&gt;30,H188&gt;=4),"yes","no")</f>
        <v>yes</v>
      </c>
      <c r="K188" t="s">
        <v>11</v>
      </c>
      <c r="L188">
        <v>12</v>
      </c>
    </row>
    <row r="189" spans="1:12" hidden="1" x14ac:dyDescent="0.35">
      <c r="A189">
        <v>1571</v>
      </c>
      <c r="B189" t="s">
        <v>588</v>
      </c>
      <c r="C189" t="s">
        <v>641</v>
      </c>
      <c r="D189">
        <v>38</v>
      </c>
      <c r="E189" s="2">
        <v>42575</v>
      </c>
      <c r="F189">
        <v>51958</v>
      </c>
      <c r="G189">
        <f>F189*0.12</f>
        <v>6234.96</v>
      </c>
      <c r="H189">
        <v>4</v>
      </c>
      <c r="I189" t="str">
        <f>IF(H189&gt;=4,"yes","no")</f>
        <v>yes</v>
      </c>
      <c r="J189" t="str">
        <f>IF(AND(D189&gt;30,H189&gt;=4),"yes","no")</f>
        <v>yes</v>
      </c>
      <c r="K189" t="s">
        <v>19</v>
      </c>
      <c r="L189">
        <v>20</v>
      </c>
    </row>
    <row r="190" spans="1:12" hidden="1" x14ac:dyDescent="0.35">
      <c r="A190">
        <v>1594</v>
      </c>
      <c r="B190" t="s">
        <v>611</v>
      </c>
      <c r="C190" t="s">
        <v>641</v>
      </c>
      <c r="D190">
        <v>47</v>
      </c>
      <c r="E190" s="2">
        <v>42598</v>
      </c>
      <c r="F190">
        <v>51916</v>
      </c>
      <c r="G190">
        <f>F190*0.12</f>
        <v>6229.92</v>
      </c>
      <c r="H190">
        <v>3</v>
      </c>
      <c r="I190" t="str">
        <f>IF(H190&gt;=4,"yes","no")</f>
        <v>no</v>
      </c>
      <c r="J190" t="str">
        <f>IF(AND(D190&gt;30,H190&gt;=4),"yes","no")</f>
        <v>no</v>
      </c>
      <c r="K190" t="s">
        <v>11</v>
      </c>
      <c r="L190">
        <v>4</v>
      </c>
    </row>
    <row r="191" spans="1:12" hidden="1" x14ac:dyDescent="0.35">
      <c r="A191">
        <v>1214</v>
      </c>
      <c r="B191" t="s">
        <v>231</v>
      </c>
      <c r="C191" t="s">
        <v>641</v>
      </c>
      <c r="D191">
        <v>24</v>
      </c>
      <c r="E191" s="2">
        <v>42218</v>
      </c>
      <c r="F191">
        <v>51685</v>
      </c>
      <c r="G191">
        <f>F191*0.12</f>
        <v>6202.2</v>
      </c>
      <c r="H191">
        <v>2</v>
      </c>
      <c r="I191" t="str">
        <f>IF(H191&gt;=4,"yes","no")</f>
        <v>no</v>
      </c>
      <c r="J191" t="str">
        <f>IF(AND(D191&gt;30,H191&gt;=4),"yes","no")</f>
        <v>no</v>
      </c>
      <c r="K191" t="s">
        <v>11</v>
      </c>
      <c r="L191">
        <v>8</v>
      </c>
    </row>
    <row r="192" spans="1:12" hidden="1" x14ac:dyDescent="0.35">
      <c r="A192">
        <v>1400</v>
      </c>
      <c r="B192" t="s">
        <v>417</v>
      </c>
      <c r="C192" t="s">
        <v>641</v>
      </c>
      <c r="D192">
        <v>25</v>
      </c>
      <c r="E192" s="2">
        <v>42404</v>
      </c>
      <c r="F192">
        <v>51385</v>
      </c>
      <c r="G192">
        <f>F192*0.12</f>
        <v>6166.2</v>
      </c>
      <c r="H192">
        <v>1</v>
      </c>
      <c r="I192" t="str">
        <f>IF(H192&gt;=4,"yes","no")</f>
        <v>no</v>
      </c>
      <c r="J192" t="str">
        <f>IF(AND(D192&gt;30,H192&gt;=4),"yes","no")</f>
        <v>no</v>
      </c>
      <c r="K192" t="s">
        <v>17</v>
      </c>
      <c r="L192">
        <v>8</v>
      </c>
    </row>
    <row r="193" spans="1:12" hidden="1" x14ac:dyDescent="0.35">
      <c r="A193">
        <v>1572</v>
      </c>
      <c r="B193" t="s">
        <v>589</v>
      </c>
      <c r="C193" t="s">
        <v>641</v>
      </c>
      <c r="D193">
        <v>58</v>
      </c>
      <c r="E193" s="2">
        <v>42576</v>
      </c>
      <c r="F193">
        <v>51017</v>
      </c>
      <c r="G193">
        <f>F193*0.12</f>
        <v>6122.04</v>
      </c>
      <c r="H193">
        <v>4</v>
      </c>
      <c r="I193" t="str">
        <f>IF(H193&gt;=4,"yes","no")</f>
        <v>yes</v>
      </c>
      <c r="J193" t="str">
        <f>IF(AND(D193&gt;30,H193&gt;=4),"yes","no")</f>
        <v>yes</v>
      </c>
      <c r="K193" t="s">
        <v>11</v>
      </c>
      <c r="L193">
        <v>20</v>
      </c>
    </row>
    <row r="194" spans="1:12" hidden="1" x14ac:dyDescent="0.35">
      <c r="A194">
        <v>1490</v>
      </c>
      <c r="B194" t="s">
        <v>507</v>
      </c>
      <c r="C194" t="s">
        <v>641</v>
      </c>
      <c r="D194">
        <v>50</v>
      </c>
      <c r="E194" s="2">
        <v>42494</v>
      </c>
      <c r="F194">
        <v>50003</v>
      </c>
      <c r="G194">
        <f>F194*0.12</f>
        <v>6000.36</v>
      </c>
      <c r="H194">
        <v>1</v>
      </c>
      <c r="I194" t="str">
        <f>IF(H194&gt;=4,"yes","no")</f>
        <v>no</v>
      </c>
      <c r="J194" t="str">
        <f>IF(AND(D194&gt;30,H194&gt;=4),"yes","no")</f>
        <v>no</v>
      </c>
      <c r="K194" t="s">
        <v>23</v>
      </c>
      <c r="L194">
        <v>19</v>
      </c>
    </row>
    <row r="195" spans="1:12" hidden="1" x14ac:dyDescent="0.35">
      <c r="A195">
        <v>1483</v>
      </c>
      <c r="B195" t="s">
        <v>500</v>
      </c>
      <c r="C195" t="s">
        <v>641</v>
      </c>
      <c r="D195">
        <v>40</v>
      </c>
      <c r="E195" s="2">
        <v>42487</v>
      </c>
      <c r="F195">
        <v>48398</v>
      </c>
      <c r="G195">
        <f>F195*0.12</f>
        <v>5807.76</v>
      </c>
      <c r="H195">
        <v>5</v>
      </c>
      <c r="I195" t="str">
        <f>IF(H195&gt;=4,"yes","no")</f>
        <v>yes</v>
      </c>
      <c r="J195" t="str">
        <f>IF(AND(D195&gt;30,H195&gt;=4),"yes","no")</f>
        <v>yes</v>
      </c>
      <c r="K195" t="s">
        <v>11</v>
      </c>
      <c r="L195">
        <v>19</v>
      </c>
    </row>
    <row r="196" spans="1:12" hidden="1" x14ac:dyDescent="0.35">
      <c r="A196">
        <v>1047</v>
      </c>
      <c r="B196" t="s">
        <v>64</v>
      </c>
      <c r="C196" t="s">
        <v>641</v>
      </c>
      <c r="D196">
        <v>46</v>
      </c>
      <c r="E196" s="2">
        <v>42051</v>
      </c>
      <c r="F196">
        <v>46520</v>
      </c>
      <c r="G196">
        <f>F196*0.12</f>
        <v>5582.4</v>
      </c>
      <c r="H196">
        <v>4</v>
      </c>
      <c r="I196" t="str">
        <f>IF(H196&gt;=4,"yes","no")</f>
        <v>yes</v>
      </c>
      <c r="J196" t="str">
        <f>IF(AND(D196&gt;30,H196&gt;=4),"yes","no")</f>
        <v>yes</v>
      </c>
      <c r="K196" t="s">
        <v>17</v>
      </c>
      <c r="L196">
        <v>21</v>
      </c>
    </row>
    <row r="197" spans="1:12" hidden="1" x14ac:dyDescent="0.35">
      <c r="A197">
        <v>1517</v>
      </c>
      <c r="B197" t="s">
        <v>534</v>
      </c>
      <c r="C197" t="s">
        <v>641</v>
      </c>
      <c r="D197">
        <v>28</v>
      </c>
      <c r="E197" s="2">
        <v>42521</v>
      </c>
      <c r="F197">
        <v>46288</v>
      </c>
      <c r="G197">
        <f>F197*0.12</f>
        <v>5554.5599999999995</v>
      </c>
      <c r="H197">
        <v>2</v>
      </c>
      <c r="I197" t="str">
        <f>IF(H197&gt;=4,"yes","no")</f>
        <v>no</v>
      </c>
      <c r="J197" t="str">
        <f>IF(AND(D197&gt;30,H197&gt;=4),"yes","no")</f>
        <v>no</v>
      </c>
      <c r="K197" t="s">
        <v>11</v>
      </c>
      <c r="L197">
        <v>28</v>
      </c>
    </row>
    <row r="198" spans="1:12" hidden="1" x14ac:dyDescent="0.35">
      <c r="A198">
        <v>1261</v>
      </c>
      <c r="B198" t="s">
        <v>278</v>
      </c>
      <c r="C198" t="s">
        <v>641</v>
      </c>
      <c r="D198">
        <v>27</v>
      </c>
      <c r="E198" s="2">
        <v>42265</v>
      </c>
      <c r="F198">
        <v>44129</v>
      </c>
      <c r="G198">
        <f>F198*0.12</f>
        <v>5295.48</v>
      </c>
      <c r="H198">
        <v>5</v>
      </c>
      <c r="I198" t="str">
        <f>IF(H198&gt;=4,"yes","no")</f>
        <v>yes</v>
      </c>
      <c r="J198" t="str">
        <f>IF(AND(D198&gt;30,H198&gt;=4),"yes","no")</f>
        <v>no</v>
      </c>
      <c r="K198" t="s">
        <v>23</v>
      </c>
      <c r="L198">
        <v>18</v>
      </c>
    </row>
    <row r="199" spans="1:12" hidden="1" x14ac:dyDescent="0.35">
      <c r="A199">
        <v>1099</v>
      </c>
      <c r="B199" t="s">
        <v>116</v>
      </c>
      <c r="C199" t="s">
        <v>641</v>
      </c>
      <c r="D199">
        <v>22</v>
      </c>
      <c r="E199" s="2">
        <v>42103</v>
      </c>
      <c r="F199">
        <v>42850</v>
      </c>
      <c r="G199">
        <f>F199*0.12</f>
        <v>5142</v>
      </c>
      <c r="H199">
        <v>1</v>
      </c>
      <c r="I199" t="str">
        <f>IF(H199&gt;=4,"yes","no")</f>
        <v>no</v>
      </c>
      <c r="J199" t="str">
        <f>IF(AND(D199&gt;30,H199&gt;=4),"yes","no")</f>
        <v>no</v>
      </c>
      <c r="K199" t="s">
        <v>17</v>
      </c>
      <c r="L199">
        <v>27</v>
      </c>
    </row>
    <row r="200" spans="1:12" hidden="1" x14ac:dyDescent="0.35">
      <c r="A200">
        <v>1577</v>
      </c>
      <c r="B200" t="s">
        <v>594</v>
      </c>
      <c r="C200" t="s">
        <v>641</v>
      </c>
      <c r="D200">
        <v>43</v>
      </c>
      <c r="E200" s="2">
        <v>42581</v>
      </c>
      <c r="F200">
        <v>42778</v>
      </c>
      <c r="G200">
        <f>F200*0.12</f>
        <v>5133.3599999999997</v>
      </c>
      <c r="H200">
        <v>2</v>
      </c>
      <c r="I200" t="str">
        <f>IF(H200&gt;=4,"yes","no")</f>
        <v>no</v>
      </c>
      <c r="J200" t="str">
        <f>IF(AND(D200&gt;30,H200&gt;=4),"yes","no")</f>
        <v>no</v>
      </c>
      <c r="K200" t="s">
        <v>17</v>
      </c>
      <c r="L200">
        <v>23</v>
      </c>
    </row>
    <row r="201" spans="1:12" hidden="1" x14ac:dyDescent="0.35">
      <c r="A201">
        <v>1227</v>
      </c>
      <c r="B201" t="s">
        <v>244</v>
      </c>
      <c r="C201" t="s">
        <v>641</v>
      </c>
      <c r="D201">
        <v>54</v>
      </c>
      <c r="E201" s="2">
        <v>42231</v>
      </c>
      <c r="F201">
        <v>42674</v>
      </c>
      <c r="G201">
        <f>F201*0.12</f>
        <v>5120.88</v>
      </c>
      <c r="H201">
        <v>4</v>
      </c>
      <c r="I201" t="str">
        <f>IF(H201&gt;=4,"yes","no")</f>
        <v>yes</v>
      </c>
      <c r="J201" t="str">
        <f>IF(AND(D201&gt;30,H201&gt;=4),"yes","no")</f>
        <v>yes</v>
      </c>
      <c r="K201" t="s">
        <v>19</v>
      </c>
      <c r="L201">
        <v>12</v>
      </c>
    </row>
    <row r="202" spans="1:12" hidden="1" x14ac:dyDescent="0.35">
      <c r="A202">
        <v>1539</v>
      </c>
      <c r="B202" t="s">
        <v>556</v>
      </c>
      <c r="C202" t="s">
        <v>641</v>
      </c>
      <c r="D202">
        <v>51</v>
      </c>
      <c r="E202" s="2">
        <v>42543</v>
      </c>
      <c r="F202">
        <v>41082</v>
      </c>
      <c r="G202">
        <f>F202*0.12</f>
        <v>4929.84</v>
      </c>
      <c r="H202">
        <v>5</v>
      </c>
      <c r="I202" t="str">
        <f>IF(H202&gt;=4,"yes","no")</f>
        <v>yes</v>
      </c>
      <c r="J202" t="str">
        <f>IF(AND(D202&gt;30,H202&gt;=4),"yes","no")</f>
        <v>yes</v>
      </c>
      <c r="K202" t="s">
        <v>11</v>
      </c>
      <c r="L202">
        <v>8</v>
      </c>
    </row>
    <row r="203" spans="1:12" hidden="1" x14ac:dyDescent="0.35">
      <c r="A203">
        <v>1423</v>
      </c>
      <c r="B203" t="s">
        <v>440</v>
      </c>
      <c r="C203" t="s">
        <v>641</v>
      </c>
      <c r="D203">
        <v>31</v>
      </c>
      <c r="E203" s="2">
        <v>42427</v>
      </c>
      <c r="F203">
        <v>40251</v>
      </c>
      <c r="G203">
        <f>F203*0.12</f>
        <v>4830.12</v>
      </c>
      <c r="H203">
        <v>4</v>
      </c>
      <c r="I203" t="str">
        <f>IF(H203&gt;=4,"yes","no")</f>
        <v>yes</v>
      </c>
      <c r="J203" t="str">
        <f>IF(AND(D203&gt;30,H203&gt;=4),"yes","no")</f>
        <v>yes</v>
      </c>
      <c r="K203" t="s">
        <v>14</v>
      </c>
      <c r="L203">
        <v>12</v>
      </c>
    </row>
    <row r="204" spans="1:12" hidden="1" x14ac:dyDescent="0.35">
      <c r="A204">
        <v>1321</v>
      </c>
      <c r="B204" t="s">
        <v>338</v>
      </c>
      <c r="C204" t="s">
        <v>641</v>
      </c>
      <c r="D204">
        <v>35</v>
      </c>
      <c r="E204" s="2">
        <v>42325</v>
      </c>
      <c r="F204">
        <v>38281</v>
      </c>
      <c r="G204">
        <f>F204*0.12</f>
        <v>4593.72</v>
      </c>
      <c r="H204">
        <v>4</v>
      </c>
      <c r="I204" t="str">
        <f>IF(H204&gt;=4,"yes","no")</f>
        <v>yes</v>
      </c>
      <c r="J204" t="str">
        <f>IF(AND(D204&gt;30,H204&gt;=4),"yes","no")</f>
        <v>yes</v>
      </c>
      <c r="K204" t="s">
        <v>11</v>
      </c>
      <c r="L204">
        <v>18</v>
      </c>
    </row>
    <row r="205" spans="1:12" hidden="1" x14ac:dyDescent="0.35">
      <c r="A205">
        <v>1058</v>
      </c>
      <c r="B205" t="s">
        <v>75</v>
      </c>
      <c r="C205" t="s">
        <v>641</v>
      </c>
      <c r="D205">
        <v>47</v>
      </c>
      <c r="E205" s="2">
        <v>42062</v>
      </c>
      <c r="F205">
        <v>37254</v>
      </c>
      <c r="G205">
        <f>F205*0.12</f>
        <v>4470.4799999999996</v>
      </c>
      <c r="H205">
        <v>5</v>
      </c>
      <c r="I205" t="str">
        <f>IF(H205&gt;=4,"yes","no")</f>
        <v>yes</v>
      </c>
      <c r="J205" t="str">
        <f>IF(AND(D205&gt;30,H205&gt;=4),"yes","no")</f>
        <v>yes</v>
      </c>
      <c r="K205" t="s">
        <v>17</v>
      </c>
      <c r="L205">
        <v>28</v>
      </c>
    </row>
    <row r="206" spans="1:12" hidden="1" x14ac:dyDescent="0.35">
      <c r="A206">
        <v>1014</v>
      </c>
      <c r="B206" t="s">
        <v>30</v>
      </c>
      <c r="C206" t="s">
        <v>641</v>
      </c>
      <c r="D206">
        <v>44</v>
      </c>
      <c r="E206" s="2">
        <v>42018</v>
      </c>
      <c r="F206">
        <v>37112</v>
      </c>
      <c r="G206">
        <f>F206*0.12</f>
        <v>4453.4399999999996</v>
      </c>
      <c r="H206">
        <v>4</v>
      </c>
      <c r="I206" t="str">
        <f>IF(H206&gt;=4,"yes","no")</f>
        <v>yes</v>
      </c>
      <c r="J206" t="str">
        <f>IF(AND(D206&gt;30,H206&gt;=4),"yes","no")</f>
        <v>yes</v>
      </c>
      <c r="K206" t="s">
        <v>11</v>
      </c>
      <c r="L206">
        <v>17</v>
      </c>
    </row>
    <row r="207" spans="1:12" hidden="1" x14ac:dyDescent="0.35">
      <c r="A207">
        <v>1060</v>
      </c>
      <c r="B207" t="s">
        <v>77</v>
      </c>
      <c r="C207" t="s">
        <v>641</v>
      </c>
      <c r="D207">
        <v>43</v>
      </c>
      <c r="E207" s="2">
        <v>42064</v>
      </c>
      <c r="F207">
        <v>36344</v>
      </c>
      <c r="G207">
        <f>F207*0.12</f>
        <v>4361.28</v>
      </c>
      <c r="H207">
        <v>5</v>
      </c>
      <c r="I207" t="str">
        <f>IF(H207&gt;=4,"yes","no")</f>
        <v>yes</v>
      </c>
      <c r="J207" t="str">
        <f>IF(AND(D207&gt;30,H207&gt;=4),"yes","no")</f>
        <v>yes</v>
      </c>
      <c r="K207" t="s">
        <v>19</v>
      </c>
      <c r="L207">
        <v>2</v>
      </c>
    </row>
    <row r="208" spans="1:12" hidden="1" x14ac:dyDescent="0.35">
      <c r="A208">
        <v>1120</v>
      </c>
      <c r="B208" t="s">
        <v>137</v>
      </c>
      <c r="C208" t="s">
        <v>641</v>
      </c>
      <c r="D208">
        <v>59</v>
      </c>
      <c r="E208" s="2">
        <v>42124</v>
      </c>
      <c r="F208">
        <v>32564</v>
      </c>
      <c r="G208">
        <f>F208*0.12</f>
        <v>3907.68</v>
      </c>
      <c r="H208">
        <v>5</v>
      </c>
      <c r="I208" t="str">
        <f>IF(H208&gt;=4,"yes","no")</f>
        <v>yes</v>
      </c>
      <c r="J208" t="str">
        <f>IF(AND(D208&gt;30,H208&gt;=4),"yes","no")</f>
        <v>yes</v>
      </c>
      <c r="K208" t="s">
        <v>19</v>
      </c>
      <c r="L208">
        <v>6</v>
      </c>
    </row>
    <row r="209" spans="1:12" hidden="1" x14ac:dyDescent="0.35">
      <c r="A209">
        <v>1332</v>
      </c>
      <c r="B209" t="s">
        <v>349</v>
      </c>
      <c r="C209" t="s">
        <v>641</v>
      </c>
      <c r="D209">
        <v>44</v>
      </c>
      <c r="E209" s="2">
        <v>42336</v>
      </c>
      <c r="F209">
        <v>32491</v>
      </c>
      <c r="G209">
        <f>F209*0.12</f>
        <v>3898.92</v>
      </c>
      <c r="H209">
        <v>3</v>
      </c>
      <c r="I209" t="str">
        <f>IF(H209&gt;=4,"yes","no")</f>
        <v>no</v>
      </c>
      <c r="J209" t="str">
        <f>IF(AND(D209&gt;30,H209&gt;=4),"yes","no")</f>
        <v>no</v>
      </c>
      <c r="K209" t="s">
        <v>11</v>
      </c>
      <c r="L209">
        <v>12</v>
      </c>
    </row>
    <row r="210" spans="1:12" hidden="1" x14ac:dyDescent="0.35">
      <c r="A210">
        <v>1045</v>
      </c>
      <c r="B210" t="s">
        <v>62</v>
      </c>
      <c r="C210" t="s">
        <v>641</v>
      </c>
      <c r="D210">
        <v>39</v>
      </c>
      <c r="E210" s="2">
        <v>42049</v>
      </c>
      <c r="F210">
        <v>31960</v>
      </c>
      <c r="G210">
        <f>F210*0.12</f>
        <v>3835.2</v>
      </c>
      <c r="H210">
        <v>3</v>
      </c>
      <c r="I210" t="str">
        <f>IF(H210&gt;=4,"yes","no")</f>
        <v>no</v>
      </c>
      <c r="J210" t="str">
        <f>IF(AND(D210&gt;30,H210&gt;=4),"yes","no")</f>
        <v>no</v>
      </c>
      <c r="K210" t="s">
        <v>14</v>
      </c>
      <c r="L210">
        <v>17</v>
      </c>
    </row>
    <row r="211" spans="1:12" hidden="1" x14ac:dyDescent="0.35">
      <c r="A211">
        <v>1390</v>
      </c>
      <c r="B211" t="s">
        <v>407</v>
      </c>
      <c r="C211" t="s">
        <v>641</v>
      </c>
      <c r="D211">
        <v>44</v>
      </c>
      <c r="E211" s="2">
        <v>42394</v>
      </c>
      <c r="F211">
        <v>30626</v>
      </c>
      <c r="G211">
        <f>F211*0.12</f>
        <v>3675.12</v>
      </c>
      <c r="H211">
        <v>2</v>
      </c>
      <c r="I211" t="str">
        <f>IF(H211&gt;=4,"yes","no")</f>
        <v>no</v>
      </c>
      <c r="J211" t="str">
        <f>IF(AND(D211&gt;30,H211&gt;=4),"yes","no")</f>
        <v>no</v>
      </c>
      <c r="K211" t="s">
        <v>17</v>
      </c>
      <c r="L211">
        <v>24</v>
      </c>
    </row>
    <row r="212" spans="1:12" hidden="1" x14ac:dyDescent="0.35">
      <c r="A212">
        <v>1542</v>
      </c>
      <c r="B212" t="s">
        <v>559</v>
      </c>
      <c r="C212" t="s">
        <v>641</v>
      </c>
      <c r="D212">
        <v>56</v>
      </c>
      <c r="E212" s="2">
        <v>42546</v>
      </c>
      <c r="F212">
        <v>27920</v>
      </c>
      <c r="G212">
        <f>F212*0.12</f>
        <v>3350.4</v>
      </c>
      <c r="H212">
        <v>1</v>
      </c>
      <c r="I212" t="str">
        <f>IF(H212&gt;=4,"yes","no")</f>
        <v>no</v>
      </c>
      <c r="J212" t="str">
        <f>IF(AND(D212&gt;30,H212&gt;=4),"yes","no")</f>
        <v>no</v>
      </c>
      <c r="K212" t="s">
        <v>17</v>
      </c>
      <c r="L212">
        <v>11</v>
      </c>
    </row>
    <row r="213" spans="1:12" hidden="1" x14ac:dyDescent="0.35">
      <c r="A213">
        <v>1259</v>
      </c>
      <c r="B213" t="s">
        <v>276</v>
      </c>
      <c r="C213" t="s">
        <v>641</v>
      </c>
      <c r="D213">
        <v>47</v>
      </c>
      <c r="E213" s="2">
        <v>42263</v>
      </c>
      <c r="F213">
        <v>27396</v>
      </c>
      <c r="G213">
        <f>F213*0.12</f>
        <v>3287.52</v>
      </c>
      <c r="H213">
        <v>5</v>
      </c>
      <c r="I213" t="str">
        <f>IF(H213&gt;=4,"yes","no")</f>
        <v>yes</v>
      </c>
      <c r="J213" t="str">
        <f>IF(AND(D213&gt;30,H213&gt;=4),"yes","no")</f>
        <v>yes</v>
      </c>
      <c r="K213" t="s">
        <v>23</v>
      </c>
      <c r="L213">
        <v>23</v>
      </c>
    </row>
    <row r="214" spans="1:12" hidden="1" x14ac:dyDescent="0.35">
      <c r="A214">
        <v>1533</v>
      </c>
      <c r="B214" t="s">
        <v>550</v>
      </c>
      <c r="C214" t="s">
        <v>641</v>
      </c>
      <c r="D214">
        <v>44</v>
      </c>
      <c r="E214" s="2">
        <v>42537</v>
      </c>
      <c r="F214">
        <v>27356</v>
      </c>
      <c r="G214">
        <f>F214*0.12</f>
        <v>3282.72</v>
      </c>
      <c r="H214">
        <v>5</v>
      </c>
      <c r="I214" t="str">
        <f>IF(H214&gt;=4,"yes","no")</f>
        <v>yes</v>
      </c>
      <c r="J214" t="str">
        <f>IF(AND(D214&gt;30,H214&gt;=4),"yes","no")</f>
        <v>yes</v>
      </c>
      <c r="K214" t="s">
        <v>17</v>
      </c>
      <c r="L214">
        <v>27</v>
      </c>
    </row>
    <row r="215" spans="1:12" hidden="1" x14ac:dyDescent="0.35">
      <c r="A215">
        <v>1061</v>
      </c>
      <c r="B215" t="s">
        <v>78</v>
      </c>
      <c r="C215" t="s">
        <v>641</v>
      </c>
      <c r="D215">
        <v>48</v>
      </c>
      <c r="E215" s="2">
        <v>42065</v>
      </c>
      <c r="F215">
        <v>26750</v>
      </c>
      <c r="G215">
        <f>F215*0.12</f>
        <v>3210</v>
      </c>
      <c r="H215">
        <v>1</v>
      </c>
      <c r="I215" t="str">
        <f>IF(H215&gt;=4,"yes","no")</f>
        <v>no</v>
      </c>
      <c r="J215" t="str">
        <f>IF(AND(D215&gt;30,H215&gt;=4),"yes","no")</f>
        <v>no</v>
      </c>
      <c r="K215" t="s">
        <v>11</v>
      </c>
      <c r="L215">
        <v>15</v>
      </c>
    </row>
    <row r="216" spans="1:12" hidden="1" x14ac:dyDescent="0.35">
      <c r="A216">
        <v>1021</v>
      </c>
      <c r="B216" t="s">
        <v>38</v>
      </c>
      <c r="C216" t="s">
        <v>641</v>
      </c>
      <c r="D216">
        <v>59</v>
      </c>
      <c r="E216" s="2">
        <v>42025</v>
      </c>
      <c r="F216">
        <v>26524</v>
      </c>
      <c r="G216">
        <f>F216*0.12</f>
        <v>3182.88</v>
      </c>
      <c r="H216">
        <v>5</v>
      </c>
      <c r="I216" t="str">
        <f>IF(H216&gt;=4,"yes","no")</f>
        <v>yes</v>
      </c>
      <c r="J216" t="str">
        <f>IF(AND(D216&gt;30,H216&gt;=4),"yes","no")</f>
        <v>yes</v>
      </c>
      <c r="K216" t="s">
        <v>11</v>
      </c>
      <c r="L216">
        <v>4</v>
      </c>
    </row>
    <row r="217" spans="1:12" hidden="1" x14ac:dyDescent="0.35">
      <c r="A217">
        <v>1323</v>
      </c>
      <c r="B217" t="s">
        <v>340</v>
      </c>
      <c r="C217" t="s">
        <v>641</v>
      </c>
      <c r="D217">
        <v>25</v>
      </c>
      <c r="E217" s="2">
        <v>42327</v>
      </c>
      <c r="F217">
        <v>26435</v>
      </c>
      <c r="G217">
        <f>F217*0.12</f>
        <v>3172.2</v>
      </c>
      <c r="H217">
        <v>5</v>
      </c>
      <c r="I217" t="str">
        <f>IF(H217&gt;=4,"yes","no")</f>
        <v>yes</v>
      </c>
      <c r="J217" t="str">
        <f>IF(AND(D217&gt;30,H217&gt;=4),"yes","no")</f>
        <v>no</v>
      </c>
      <c r="K217" t="s">
        <v>17</v>
      </c>
      <c r="L217">
        <v>13</v>
      </c>
    </row>
    <row r="218" spans="1:12" hidden="1" x14ac:dyDescent="0.35">
      <c r="A218">
        <v>1176</v>
      </c>
      <c r="B218" t="s">
        <v>193</v>
      </c>
      <c r="C218" t="s">
        <v>641</v>
      </c>
      <c r="D218">
        <v>38</v>
      </c>
      <c r="E218" s="2">
        <v>42180</v>
      </c>
      <c r="F218">
        <v>25806</v>
      </c>
      <c r="G218">
        <f>F218*0.12</f>
        <v>3096.72</v>
      </c>
      <c r="H218">
        <v>3</v>
      </c>
      <c r="I218" t="str">
        <f>IF(H218&gt;=4,"yes","no")</f>
        <v>no</v>
      </c>
      <c r="J218" t="str">
        <f>IF(AND(D218&gt;30,H218&gt;=4),"yes","no")</f>
        <v>no</v>
      </c>
      <c r="K218" t="s">
        <v>19</v>
      </c>
      <c r="L218">
        <v>9</v>
      </c>
    </row>
    <row r="219" spans="1:12" hidden="1" x14ac:dyDescent="0.35">
      <c r="A219">
        <v>1424</v>
      </c>
      <c r="B219" t="s">
        <v>441</v>
      </c>
      <c r="C219" t="s">
        <v>641</v>
      </c>
      <c r="D219">
        <v>47</v>
      </c>
      <c r="E219" s="2">
        <v>42428</v>
      </c>
      <c r="F219">
        <v>25526</v>
      </c>
      <c r="G219">
        <f>F219*0.12</f>
        <v>3063.12</v>
      </c>
      <c r="H219">
        <v>5</v>
      </c>
      <c r="I219" t="str">
        <f>IF(H219&gt;=4,"yes","no")</f>
        <v>yes</v>
      </c>
      <c r="J219" t="str">
        <f>IF(AND(D219&gt;30,H219&gt;=4),"yes","no")</f>
        <v>yes</v>
      </c>
      <c r="K219" t="s">
        <v>19</v>
      </c>
      <c r="L219">
        <v>28</v>
      </c>
    </row>
    <row r="220" spans="1:12" x14ac:dyDescent="0.35">
      <c r="A220">
        <v>1251</v>
      </c>
      <c r="B220" t="s">
        <v>268</v>
      </c>
      <c r="C220" t="s">
        <v>36</v>
      </c>
      <c r="D220">
        <v>36</v>
      </c>
      <c r="E220" s="2">
        <v>42255</v>
      </c>
      <c r="F220">
        <v>119661</v>
      </c>
      <c r="G220">
        <f>F220*0.12</f>
        <v>14359.32</v>
      </c>
      <c r="H220">
        <v>1</v>
      </c>
      <c r="I220" t="str">
        <f>IF(H220&gt;=4,"yes","no")</f>
        <v>no</v>
      </c>
      <c r="J220" t="str">
        <f>IF(AND(D220&gt;30,H220&gt;=4),"yes","no")</f>
        <v>no</v>
      </c>
      <c r="K220" t="s">
        <v>19</v>
      </c>
      <c r="L220">
        <v>28</v>
      </c>
    </row>
    <row r="221" spans="1:12" x14ac:dyDescent="0.35">
      <c r="A221">
        <v>1235</v>
      </c>
      <c r="B221" t="s">
        <v>252</v>
      </c>
      <c r="C221" t="s">
        <v>36</v>
      </c>
      <c r="D221">
        <v>51</v>
      </c>
      <c r="E221" s="2">
        <v>42239</v>
      </c>
      <c r="F221">
        <v>119377</v>
      </c>
      <c r="G221">
        <f>F221*0.12</f>
        <v>14325.24</v>
      </c>
      <c r="H221">
        <v>2</v>
      </c>
      <c r="I221" t="str">
        <f>IF(H221&gt;=4,"yes","no")</f>
        <v>no</v>
      </c>
      <c r="J221" t="str">
        <f>IF(AND(D221&gt;30,H221&gt;=4),"yes","no")</f>
        <v>no</v>
      </c>
      <c r="K221" t="s">
        <v>19</v>
      </c>
      <c r="L221">
        <v>11</v>
      </c>
    </row>
    <row r="222" spans="1:12" x14ac:dyDescent="0.35">
      <c r="A222">
        <v>1115</v>
      </c>
      <c r="B222" t="s">
        <v>132</v>
      </c>
      <c r="C222" t="s">
        <v>36</v>
      </c>
      <c r="D222">
        <v>39</v>
      </c>
      <c r="E222" s="2">
        <v>42119</v>
      </c>
      <c r="F222">
        <v>119071</v>
      </c>
      <c r="G222">
        <f>F222*0.12</f>
        <v>14288.519999999999</v>
      </c>
      <c r="H222">
        <v>1</v>
      </c>
      <c r="I222" t="str">
        <f>IF(H222&gt;=4,"yes","no")</f>
        <v>no</v>
      </c>
      <c r="J222" t="str">
        <f>IF(AND(D222&gt;30,H222&gt;=4),"yes","no")</f>
        <v>no</v>
      </c>
      <c r="K222" t="s">
        <v>11</v>
      </c>
      <c r="L222">
        <v>21</v>
      </c>
    </row>
    <row r="223" spans="1:12" x14ac:dyDescent="0.35">
      <c r="A223">
        <v>1266</v>
      </c>
      <c r="B223" t="s">
        <v>283</v>
      </c>
      <c r="C223" t="s">
        <v>36</v>
      </c>
      <c r="D223">
        <v>54</v>
      </c>
      <c r="E223" s="2">
        <v>42270</v>
      </c>
      <c r="F223">
        <v>117108</v>
      </c>
      <c r="G223">
        <f>F223*0.12</f>
        <v>14052.96</v>
      </c>
      <c r="H223">
        <v>1</v>
      </c>
      <c r="I223" t="str">
        <f>IF(H223&gt;=4,"yes","no")</f>
        <v>no</v>
      </c>
      <c r="J223" t="str">
        <f>IF(AND(D223&gt;30,H223&gt;=4),"yes","no")</f>
        <v>no</v>
      </c>
      <c r="K223" t="s">
        <v>14</v>
      </c>
      <c r="L223">
        <v>27</v>
      </c>
    </row>
    <row r="224" spans="1:12" x14ac:dyDescent="0.35">
      <c r="A224">
        <v>1300</v>
      </c>
      <c r="B224" t="s">
        <v>317</v>
      </c>
      <c r="C224" t="s">
        <v>36</v>
      </c>
      <c r="D224">
        <v>26</v>
      </c>
      <c r="E224" s="2">
        <v>42304</v>
      </c>
      <c r="F224">
        <v>116659</v>
      </c>
      <c r="G224">
        <f>F224*0.12</f>
        <v>13999.08</v>
      </c>
      <c r="H224">
        <v>2</v>
      </c>
      <c r="I224" t="str">
        <f>IF(H224&gt;=4,"yes","no")</f>
        <v>no</v>
      </c>
      <c r="J224" t="str">
        <f>IF(AND(D224&gt;30,H224&gt;=4),"yes","no")</f>
        <v>no</v>
      </c>
      <c r="K224" t="s">
        <v>17</v>
      </c>
      <c r="L224">
        <v>15</v>
      </c>
    </row>
    <row r="225" spans="1:12" x14ac:dyDescent="0.35">
      <c r="A225">
        <v>1324</v>
      </c>
      <c r="B225" t="s">
        <v>341</v>
      </c>
      <c r="C225" t="s">
        <v>36</v>
      </c>
      <c r="D225">
        <v>46</v>
      </c>
      <c r="E225" s="2">
        <v>42328</v>
      </c>
      <c r="F225">
        <v>116357</v>
      </c>
      <c r="G225">
        <f>F225*0.12</f>
        <v>13962.84</v>
      </c>
      <c r="H225">
        <v>5</v>
      </c>
      <c r="I225" t="str">
        <f>IF(H225&gt;=4,"yes","no")</f>
        <v>yes</v>
      </c>
      <c r="J225" t="str">
        <f>IF(AND(D225&gt;30,H225&gt;=4),"yes","no")</f>
        <v>yes</v>
      </c>
      <c r="K225" t="s">
        <v>23</v>
      </c>
      <c r="L225">
        <v>26</v>
      </c>
    </row>
    <row r="226" spans="1:12" x14ac:dyDescent="0.35">
      <c r="A226">
        <v>1102</v>
      </c>
      <c r="B226" t="s">
        <v>119</v>
      </c>
      <c r="C226" t="s">
        <v>36</v>
      </c>
      <c r="D226">
        <v>51</v>
      </c>
      <c r="E226" s="2">
        <v>42106</v>
      </c>
      <c r="F226">
        <v>114613</v>
      </c>
      <c r="G226">
        <f>F226*0.12</f>
        <v>13753.56</v>
      </c>
      <c r="H226">
        <v>1</v>
      </c>
      <c r="I226" t="str">
        <f>IF(H226&gt;=4,"yes","no")</f>
        <v>no</v>
      </c>
      <c r="J226" t="str">
        <f>IF(AND(D226&gt;30,H226&gt;=4),"yes","no")</f>
        <v>no</v>
      </c>
      <c r="K226" t="s">
        <v>14</v>
      </c>
      <c r="L226">
        <v>2</v>
      </c>
    </row>
    <row r="227" spans="1:12" x14ac:dyDescent="0.35">
      <c r="A227">
        <v>1478</v>
      </c>
      <c r="B227" t="s">
        <v>495</v>
      </c>
      <c r="C227" t="s">
        <v>36</v>
      </c>
      <c r="D227">
        <v>50</v>
      </c>
      <c r="E227" s="2">
        <v>42482</v>
      </c>
      <c r="F227">
        <v>113652</v>
      </c>
      <c r="G227">
        <f>F227*0.12</f>
        <v>13638.24</v>
      </c>
      <c r="H227">
        <v>5</v>
      </c>
      <c r="I227" t="str">
        <f>IF(H227&gt;=4,"yes","no")</f>
        <v>yes</v>
      </c>
      <c r="J227" t="str">
        <f>IF(AND(D227&gt;30,H227&gt;=4),"yes","no")</f>
        <v>yes</v>
      </c>
      <c r="K227" t="s">
        <v>17</v>
      </c>
      <c r="L227">
        <v>9</v>
      </c>
    </row>
    <row r="228" spans="1:12" x14ac:dyDescent="0.35">
      <c r="A228">
        <v>1591</v>
      </c>
      <c r="B228" t="s">
        <v>608</v>
      </c>
      <c r="C228" t="s">
        <v>36</v>
      </c>
      <c r="D228">
        <v>23</v>
      </c>
      <c r="E228" s="2">
        <v>42595</v>
      </c>
      <c r="F228">
        <v>113397</v>
      </c>
      <c r="G228">
        <f>F228*0.12</f>
        <v>13607.64</v>
      </c>
      <c r="H228">
        <v>2</v>
      </c>
      <c r="I228" t="str">
        <f>IF(H228&gt;=4,"yes","no")</f>
        <v>no</v>
      </c>
      <c r="J228" t="str">
        <f>IF(AND(D228&gt;30,H228&gt;=4),"yes","no")</f>
        <v>no</v>
      </c>
      <c r="K228" t="s">
        <v>11</v>
      </c>
      <c r="L228">
        <v>4</v>
      </c>
    </row>
    <row r="229" spans="1:12" x14ac:dyDescent="0.35">
      <c r="A229">
        <v>1303</v>
      </c>
      <c r="B229" t="s">
        <v>320</v>
      </c>
      <c r="C229" t="s">
        <v>36</v>
      </c>
      <c r="D229">
        <v>30</v>
      </c>
      <c r="E229" s="2">
        <v>42307</v>
      </c>
      <c r="F229">
        <v>112263</v>
      </c>
      <c r="G229">
        <f>F229*0.12</f>
        <v>13471.56</v>
      </c>
      <c r="H229">
        <v>4</v>
      </c>
      <c r="I229" t="str">
        <f>IF(H229&gt;=4,"yes","no")</f>
        <v>yes</v>
      </c>
      <c r="J229" t="str">
        <f>IF(AND(D229&gt;30,H229&gt;=4),"yes","no")</f>
        <v>no</v>
      </c>
      <c r="K229" t="s">
        <v>17</v>
      </c>
      <c r="L229">
        <v>19</v>
      </c>
    </row>
    <row r="230" spans="1:12" x14ac:dyDescent="0.35">
      <c r="A230">
        <v>1255</v>
      </c>
      <c r="B230" t="s">
        <v>272</v>
      </c>
      <c r="C230" t="s">
        <v>36</v>
      </c>
      <c r="D230">
        <v>23</v>
      </c>
      <c r="E230" s="2">
        <v>42259</v>
      </c>
      <c r="F230">
        <v>110956</v>
      </c>
      <c r="G230">
        <f>F230*0.12</f>
        <v>13314.72</v>
      </c>
      <c r="H230">
        <v>3</v>
      </c>
      <c r="I230" t="str">
        <f>IF(H230&gt;=4,"yes","no")</f>
        <v>no</v>
      </c>
      <c r="J230" t="str">
        <f>IF(AND(D230&gt;30,H230&gt;=4),"yes","no")</f>
        <v>no</v>
      </c>
      <c r="K230" t="s">
        <v>19</v>
      </c>
      <c r="L230">
        <v>17</v>
      </c>
    </row>
    <row r="231" spans="1:12" x14ac:dyDescent="0.35">
      <c r="A231">
        <v>1440</v>
      </c>
      <c r="B231" t="s">
        <v>457</v>
      </c>
      <c r="C231" t="s">
        <v>36</v>
      </c>
      <c r="D231">
        <v>27</v>
      </c>
      <c r="E231" s="2">
        <v>42444</v>
      </c>
      <c r="F231">
        <v>110708</v>
      </c>
      <c r="G231">
        <f>F231*0.12</f>
        <v>13284.96</v>
      </c>
      <c r="H231">
        <v>3</v>
      </c>
      <c r="I231" t="str">
        <f>IF(H231&gt;=4,"yes","no")</f>
        <v>no</v>
      </c>
      <c r="J231" t="str">
        <f>IF(AND(D231&gt;30,H231&gt;=4),"yes","no")</f>
        <v>no</v>
      </c>
      <c r="K231" t="s">
        <v>17</v>
      </c>
      <c r="L231">
        <v>1</v>
      </c>
    </row>
    <row r="232" spans="1:12" x14ac:dyDescent="0.35">
      <c r="A232">
        <v>1272</v>
      </c>
      <c r="B232" t="s">
        <v>289</v>
      </c>
      <c r="C232" t="s">
        <v>36</v>
      </c>
      <c r="D232">
        <v>59</v>
      </c>
      <c r="E232" s="2">
        <v>42276</v>
      </c>
      <c r="F232">
        <v>108624</v>
      </c>
      <c r="G232">
        <f>F232*0.12</f>
        <v>13034.88</v>
      </c>
      <c r="H232">
        <v>3</v>
      </c>
      <c r="I232" t="str">
        <f>IF(H232&gt;=4,"yes","no")</f>
        <v>no</v>
      </c>
      <c r="J232" t="str">
        <f>IF(AND(D232&gt;30,H232&gt;=4),"yes","no")</f>
        <v>no</v>
      </c>
      <c r="K232" t="s">
        <v>19</v>
      </c>
      <c r="L232">
        <v>18</v>
      </c>
    </row>
    <row r="233" spans="1:12" x14ac:dyDescent="0.35">
      <c r="A233">
        <v>1226</v>
      </c>
      <c r="B233" t="s">
        <v>243</v>
      </c>
      <c r="C233" t="s">
        <v>36</v>
      </c>
      <c r="D233">
        <v>58</v>
      </c>
      <c r="E233" s="2">
        <v>42230</v>
      </c>
      <c r="F233">
        <v>108300</v>
      </c>
      <c r="G233">
        <f>F233*0.12</f>
        <v>12996</v>
      </c>
      <c r="H233">
        <v>5</v>
      </c>
      <c r="I233" t="str">
        <f>IF(H233&gt;=4,"yes","no")</f>
        <v>yes</v>
      </c>
      <c r="J233" t="str">
        <f>IF(AND(D233&gt;30,H233&gt;=4),"yes","no")</f>
        <v>yes</v>
      </c>
      <c r="K233" t="s">
        <v>11</v>
      </c>
      <c r="L233">
        <v>1</v>
      </c>
    </row>
    <row r="234" spans="1:12" x14ac:dyDescent="0.35">
      <c r="A234">
        <v>1513</v>
      </c>
      <c r="B234" t="s">
        <v>530</v>
      </c>
      <c r="C234" t="s">
        <v>36</v>
      </c>
      <c r="D234">
        <v>52</v>
      </c>
      <c r="E234" s="2">
        <v>42517</v>
      </c>
      <c r="F234">
        <v>106941</v>
      </c>
      <c r="G234">
        <f>F234*0.12</f>
        <v>12832.92</v>
      </c>
      <c r="H234">
        <v>1</v>
      </c>
      <c r="I234" t="str">
        <f>IF(H234&gt;=4,"yes","no")</f>
        <v>no</v>
      </c>
      <c r="J234" t="str">
        <f>IF(AND(D234&gt;30,H234&gt;=4),"yes","no")</f>
        <v>no</v>
      </c>
      <c r="K234" t="s">
        <v>17</v>
      </c>
      <c r="L234">
        <v>14</v>
      </c>
    </row>
    <row r="235" spans="1:12" x14ac:dyDescent="0.35">
      <c r="A235">
        <v>1242</v>
      </c>
      <c r="B235" t="s">
        <v>259</v>
      </c>
      <c r="C235" t="s">
        <v>36</v>
      </c>
      <c r="D235">
        <v>57</v>
      </c>
      <c r="E235" s="2">
        <v>42246</v>
      </c>
      <c r="F235">
        <v>106121</v>
      </c>
      <c r="G235">
        <f>F235*0.12</f>
        <v>12734.52</v>
      </c>
      <c r="H235">
        <v>3</v>
      </c>
      <c r="I235" t="str">
        <f>IF(H235&gt;=4,"yes","no")</f>
        <v>no</v>
      </c>
      <c r="J235" t="str">
        <f>IF(AND(D235&gt;30,H235&gt;=4),"yes","no")</f>
        <v>no</v>
      </c>
      <c r="K235" t="s">
        <v>19</v>
      </c>
      <c r="L235">
        <v>23</v>
      </c>
    </row>
    <row r="236" spans="1:12" x14ac:dyDescent="0.35">
      <c r="A236">
        <v>1561</v>
      </c>
      <c r="B236" t="s">
        <v>578</v>
      </c>
      <c r="C236" t="s">
        <v>36</v>
      </c>
      <c r="D236">
        <v>55</v>
      </c>
      <c r="E236" s="2">
        <v>42565</v>
      </c>
      <c r="F236">
        <v>105818</v>
      </c>
      <c r="G236">
        <f>F236*0.12</f>
        <v>12698.16</v>
      </c>
      <c r="H236">
        <v>5</v>
      </c>
      <c r="I236" t="str">
        <f>IF(H236&gt;=4,"yes","no")</f>
        <v>yes</v>
      </c>
      <c r="J236" t="str">
        <f>IF(AND(D236&gt;30,H236&gt;=4),"yes","no")</f>
        <v>yes</v>
      </c>
      <c r="K236" t="s">
        <v>14</v>
      </c>
      <c r="L236">
        <v>28</v>
      </c>
    </row>
    <row r="237" spans="1:12" x14ac:dyDescent="0.35">
      <c r="A237">
        <v>1125</v>
      </c>
      <c r="B237" t="s">
        <v>142</v>
      </c>
      <c r="C237" t="s">
        <v>36</v>
      </c>
      <c r="D237">
        <v>38</v>
      </c>
      <c r="E237" s="2">
        <v>42129</v>
      </c>
      <c r="F237">
        <v>105765</v>
      </c>
      <c r="G237">
        <f>F237*0.12</f>
        <v>12691.8</v>
      </c>
      <c r="H237">
        <v>2</v>
      </c>
      <c r="I237" t="str">
        <f>IF(H237&gt;=4,"yes","no")</f>
        <v>no</v>
      </c>
      <c r="J237" t="str">
        <f>IF(AND(D237&gt;30,H237&gt;=4),"yes","no")</f>
        <v>no</v>
      </c>
      <c r="K237" t="s">
        <v>17</v>
      </c>
      <c r="L237">
        <v>6</v>
      </c>
    </row>
    <row r="238" spans="1:12" x14ac:dyDescent="0.35">
      <c r="A238">
        <v>1169</v>
      </c>
      <c r="B238" t="s">
        <v>186</v>
      </c>
      <c r="C238" t="s">
        <v>36</v>
      </c>
      <c r="D238">
        <v>35</v>
      </c>
      <c r="E238" s="2">
        <v>42173</v>
      </c>
      <c r="F238">
        <v>105688</v>
      </c>
      <c r="G238">
        <f>F238*0.12</f>
        <v>12682.56</v>
      </c>
      <c r="H238">
        <v>2</v>
      </c>
      <c r="I238" t="str">
        <f>IF(H238&gt;=4,"yes","no")</f>
        <v>no</v>
      </c>
      <c r="J238" t="str">
        <f>IF(AND(D238&gt;30,H238&gt;=4),"yes","no")</f>
        <v>no</v>
      </c>
      <c r="K238" t="s">
        <v>11</v>
      </c>
      <c r="L238">
        <v>3</v>
      </c>
    </row>
    <row r="239" spans="1:12" x14ac:dyDescent="0.35">
      <c r="A239">
        <v>1087</v>
      </c>
      <c r="B239" t="s">
        <v>104</v>
      </c>
      <c r="C239" t="s">
        <v>36</v>
      </c>
      <c r="D239">
        <v>34</v>
      </c>
      <c r="E239" s="2">
        <v>42091</v>
      </c>
      <c r="F239">
        <v>105559</v>
      </c>
      <c r="G239">
        <f>F239*0.12</f>
        <v>12667.08</v>
      </c>
      <c r="H239">
        <v>1</v>
      </c>
      <c r="I239" t="str">
        <f>IF(H239&gt;=4,"yes","no")</f>
        <v>no</v>
      </c>
      <c r="J239" t="str">
        <f>IF(AND(D239&gt;30,H239&gt;=4),"yes","no")</f>
        <v>no</v>
      </c>
      <c r="K239" t="s">
        <v>11</v>
      </c>
      <c r="L239">
        <v>21</v>
      </c>
    </row>
    <row r="240" spans="1:12" x14ac:dyDescent="0.35">
      <c r="A240">
        <v>1183</v>
      </c>
      <c r="B240" t="s">
        <v>200</v>
      </c>
      <c r="C240" t="s">
        <v>36</v>
      </c>
      <c r="D240">
        <v>43</v>
      </c>
      <c r="E240" s="2">
        <v>42187</v>
      </c>
      <c r="F240">
        <v>105435</v>
      </c>
      <c r="G240">
        <f>F240*0.12</f>
        <v>12652.199999999999</v>
      </c>
      <c r="H240">
        <v>1</v>
      </c>
      <c r="I240" t="str">
        <f>IF(H240&gt;=4,"yes","no")</f>
        <v>no</v>
      </c>
      <c r="J240" t="str">
        <f>IF(AND(D240&gt;30,H240&gt;=4),"yes","no")</f>
        <v>no</v>
      </c>
      <c r="K240" t="s">
        <v>14</v>
      </c>
      <c r="L240">
        <v>20</v>
      </c>
    </row>
    <row r="241" spans="1:12" x14ac:dyDescent="0.35">
      <c r="A241">
        <v>1180</v>
      </c>
      <c r="B241" t="s">
        <v>197</v>
      </c>
      <c r="C241" t="s">
        <v>36</v>
      </c>
      <c r="D241">
        <v>29</v>
      </c>
      <c r="E241" s="2">
        <v>42184</v>
      </c>
      <c r="F241">
        <v>105097</v>
      </c>
      <c r="G241">
        <f>F241*0.12</f>
        <v>12611.64</v>
      </c>
      <c r="H241">
        <v>3</v>
      </c>
      <c r="I241" t="str">
        <f>IF(H241&gt;=4,"yes","no")</f>
        <v>no</v>
      </c>
      <c r="J241" t="str">
        <f>IF(AND(D241&gt;30,H241&gt;=4),"yes","no")</f>
        <v>no</v>
      </c>
      <c r="K241" t="s">
        <v>14</v>
      </c>
      <c r="L241">
        <v>26</v>
      </c>
    </row>
    <row r="242" spans="1:12" x14ac:dyDescent="0.35">
      <c r="A242">
        <v>1545</v>
      </c>
      <c r="B242" t="s">
        <v>562</v>
      </c>
      <c r="C242" t="s">
        <v>36</v>
      </c>
      <c r="D242">
        <v>38</v>
      </c>
      <c r="E242" s="2">
        <v>42549</v>
      </c>
      <c r="F242">
        <v>104561</v>
      </c>
      <c r="G242">
        <f>F242*0.12</f>
        <v>12547.32</v>
      </c>
      <c r="H242">
        <v>3</v>
      </c>
      <c r="I242" t="str">
        <f>IF(H242&gt;=4,"yes","no")</f>
        <v>no</v>
      </c>
      <c r="J242" t="str">
        <f>IF(AND(D242&gt;30,H242&gt;=4),"yes","no")</f>
        <v>no</v>
      </c>
      <c r="K242" t="s">
        <v>23</v>
      </c>
      <c r="L242">
        <v>17</v>
      </c>
    </row>
    <row r="243" spans="1:12" x14ac:dyDescent="0.35">
      <c r="A243">
        <v>1588</v>
      </c>
      <c r="B243" t="s">
        <v>605</v>
      </c>
      <c r="C243" t="s">
        <v>36</v>
      </c>
      <c r="D243">
        <v>47</v>
      </c>
      <c r="E243" s="2">
        <v>42592</v>
      </c>
      <c r="F243">
        <v>103301</v>
      </c>
      <c r="G243">
        <f>F243*0.12</f>
        <v>12396.119999999999</v>
      </c>
      <c r="H243">
        <v>3</v>
      </c>
      <c r="I243" t="str">
        <f>IF(H243&gt;=4,"yes","no")</f>
        <v>no</v>
      </c>
      <c r="J243" t="str">
        <f>IF(AND(D243&gt;30,H243&gt;=4),"yes","no")</f>
        <v>no</v>
      </c>
      <c r="K243" t="s">
        <v>17</v>
      </c>
      <c r="L243">
        <v>18</v>
      </c>
    </row>
    <row r="244" spans="1:12" x14ac:dyDescent="0.35">
      <c r="A244">
        <v>1292</v>
      </c>
      <c r="B244" t="s">
        <v>309</v>
      </c>
      <c r="C244" t="s">
        <v>36</v>
      </c>
      <c r="D244">
        <v>30</v>
      </c>
      <c r="E244" s="2">
        <v>42296</v>
      </c>
      <c r="F244">
        <v>102236</v>
      </c>
      <c r="G244">
        <f>F244*0.12</f>
        <v>12268.32</v>
      </c>
      <c r="H244">
        <v>1</v>
      </c>
      <c r="I244" t="str">
        <f>IF(H244&gt;=4,"yes","no")</f>
        <v>no</v>
      </c>
      <c r="J244" t="str">
        <f>IF(AND(D244&gt;30,H244&gt;=4),"yes","no")</f>
        <v>no</v>
      </c>
      <c r="K244" t="s">
        <v>19</v>
      </c>
      <c r="L244">
        <v>13</v>
      </c>
    </row>
    <row r="245" spans="1:12" x14ac:dyDescent="0.35">
      <c r="A245">
        <v>1394</v>
      </c>
      <c r="B245" t="s">
        <v>411</v>
      </c>
      <c r="C245" t="s">
        <v>36</v>
      </c>
      <c r="D245">
        <v>34</v>
      </c>
      <c r="E245" s="2">
        <v>42398</v>
      </c>
      <c r="F245">
        <v>101961</v>
      </c>
      <c r="G245">
        <f>F245*0.12</f>
        <v>12235.32</v>
      </c>
      <c r="H245">
        <v>1</v>
      </c>
      <c r="I245" t="str">
        <f>IF(H245&gt;=4,"yes","no")</f>
        <v>no</v>
      </c>
      <c r="J245" t="str">
        <f>IF(AND(D245&gt;30,H245&gt;=4),"yes","no")</f>
        <v>no</v>
      </c>
      <c r="K245" t="s">
        <v>19</v>
      </c>
      <c r="L245">
        <v>4</v>
      </c>
    </row>
    <row r="246" spans="1:12" x14ac:dyDescent="0.35">
      <c r="A246">
        <v>1485</v>
      </c>
      <c r="B246" t="s">
        <v>502</v>
      </c>
      <c r="C246" t="s">
        <v>36</v>
      </c>
      <c r="D246">
        <v>54</v>
      </c>
      <c r="E246" s="2">
        <v>42489</v>
      </c>
      <c r="F246">
        <v>100897</v>
      </c>
      <c r="G246">
        <f>F246*0.12</f>
        <v>12107.64</v>
      </c>
      <c r="H246">
        <v>5</v>
      </c>
      <c r="I246" t="str">
        <f>IF(H246&gt;=4,"yes","no")</f>
        <v>yes</v>
      </c>
      <c r="J246" t="str">
        <f>IF(AND(D246&gt;30,H246&gt;=4),"yes","no")</f>
        <v>yes</v>
      </c>
      <c r="K246" t="s">
        <v>11</v>
      </c>
      <c r="L246">
        <v>17</v>
      </c>
    </row>
    <row r="247" spans="1:12" x14ac:dyDescent="0.35">
      <c r="A247">
        <v>1222</v>
      </c>
      <c r="B247" t="s">
        <v>239</v>
      </c>
      <c r="C247" t="s">
        <v>36</v>
      </c>
      <c r="D247">
        <v>27</v>
      </c>
      <c r="E247" s="2">
        <v>42226</v>
      </c>
      <c r="F247">
        <v>100758</v>
      </c>
      <c r="G247">
        <f>F247*0.12</f>
        <v>12090.96</v>
      </c>
      <c r="H247">
        <v>5</v>
      </c>
      <c r="I247" t="str">
        <f>IF(H247&gt;=4,"yes","no")</f>
        <v>yes</v>
      </c>
      <c r="J247" t="str">
        <f>IF(AND(D247&gt;30,H247&gt;=4),"yes","no")</f>
        <v>no</v>
      </c>
      <c r="K247" t="s">
        <v>23</v>
      </c>
      <c r="L247">
        <v>22</v>
      </c>
    </row>
    <row r="248" spans="1:12" x14ac:dyDescent="0.35">
      <c r="A248">
        <v>1171</v>
      </c>
      <c r="B248" t="s">
        <v>188</v>
      </c>
      <c r="C248" t="s">
        <v>36</v>
      </c>
      <c r="D248">
        <v>48</v>
      </c>
      <c r="E248" s="2">
        <v>42175</v>
      </c>
      <c r="F248">
        <v>99691</v>
      </c>
      <c r="G248">
        <f>F248*0.12</f>
        <v>11962.92</v>
      </c>
      <c r="H248">
        <v>4</v>
      </c>
      <c r="I248" t="str">
        <f>IF(H248&gt;=4,"yes","no")</f>
        <v>yes</v>
      </c>
      <c r="J248" t="str">
        <f>IF(AND(D248&gt;30,H248&gt;=4),"yes","no")</f>
        <v>yes</v>
      </c>
      <c r="K248" t="s">
        <v>23</v>
      </c>
      <c r="L248">
        <v>26</v>
      </c>
    </row>
    <row r="249" spans="1:12" x14ac:dyDescent="0.35">
      <c r="A249">
        <v>1469</v>
      </c>
      <c r="B249" t="s">
        <v>486</v>
      </c>
      <c r="C249" t="s">
        <v>36</v>
      </c>
      <c r="D249">
        <v>22</v>
      </c>
      <c r="E249" s="2">
        <v>42473</v>
      </c>
      <c r="F249">
        <v>99663</v>
      </c>
      <c r="G249">
        <f>F249*0.12</f>
        <v>11959.56</v>
      </c>
      <c r="H249">
        <v>2</v>
      </c>
      <c r="I249" t="str">
        <f>IF(H249&gt;=4,"yes","no")</f>
        <v>no</v>
      </c>
      <c r="J249" t="str">
        <f>IF(AND(D249&gt;30,H249&gt;=4),"yes","no")</f>
        <v>no</v>
      </c>
      <c r="K249" t="s">
        <v>14</v>
      </c>
      <c r="L249">
        <v>20</v>
      </c>
    </row>
    <row r="250" spans="1:12" x14ac:dyDescent="0.35">
      <c r="A250">
        <v>1141</v>
      </c>
      <c r="B250" t="s">
        <v>158</v>
      </c>
      <c r="C250" t="s">
        <v>36</v>
      </c>
      <c r="D250">
        <v>44</v>
      </c>
      <c r="E250" s="2">
        <v>42145</v>
      </c>
      <c r="F250">
        <v>98972</v>
      </c>
      <c r="G250">
        <f>F250*0.12</f>
        <v>11876.64</v>
      </c>
      <c r="H250">
        <v>2</v>
      </c>
      <c r="I250" t="str">
        <f>IF(H250&gt;=4,"yes","no")</f>
        <v>no</v>
      </c>
      <c r="J250" t="str">
        <f>IF(AND(D250&gt;30,H250&gt;=4),"yes","no")</f>
        <v>no</v>
      </c>
      <c r="K250" t="s">
        <v>11</v>
      </c>
      <c r="L250">
        <v>14</v>
      </c>
    </row>
    <row r="251" spans="1:12" x14ac:dyDescent="0.35">
      <c r="A251">
        <v>1088</v>
      </c>
      <c r="B251" t="s">
        <v>105</v>
      </c>
      <c r="C251" t="s">
        <v>36</v>
      </c>
      <c r="D251">
        <v>25</v>
      </c>
      <c r="E251" s="2">
        <v>42092</v>
      </c>
      <c r="F251">
        <v>98543</v>
      </c>
      <c r="G251">
        <f>F251*0.12</f>
        <v>11825.16</v>
      </c>
      <c r="H251">
        <v>5</v>
      </c>
      <c r="I251" t="str">
        <f>IF(H251&gt;=4,"yes","no")</f>
        <v>yes</v>
      </c>
      <c r="J251" t="str">
        <f>IF(AND(D251&gt;30,H251&gt;=4),"yes","no")</f>
        <v>no</v>
      </c>
      <c r="K251" t="s">
        <v>11</v>
      </c>
      <c r="L251">
        <v>10</v>
      </c>
    </row>
    <row r="252" spans="1:12" x14ac:dyDescent="0.35">
      <c r="A252">
        <v>1085</v>
      </c>
      <c r="B252" t="s">
        <v>102</v>
      </c>
      <c r="C252" t="s">
        <v>36</v>
      </c>
      <c r="D252">
        <v>30</v>
      </c>
      <c r="E252" s="2">
        <v>42089</v>
      </c>
      <c r="F252">
        <v>94768</v>
      </c>
      <c r="G252">
        <f>F252*0.12</f>
        <v>11372.16</v>
      </c>
      <c r="H252">
        <v>2</v>
      </c>
      <c r="I252" t="str">
        <f>IF(H252&gt;=4,"yes","no")</f>
        <v>no</v>
      </c>
      <c r="J252" t="str">
        <f>IF(AND(D252&gt;30,H252&gt;=4),"yes","no")</f>
        <v>no</v>
      </c>
      <c r="K252" t="s">
        <v>17</v>
      </c>
      <c r="L252">
        <v>27</v>
      </c>
    </row>
    <row r="253" spans="1:12" x14ac:dyDescent="0.35">
      <c r="A253">
        <v>1487</v>
      </c>
      <c r="B253" t="s">
        <v>504</v>
      </c>
      <c r="C253" t="s">
        <v>36</v>
      </c>
      <c r="D253">
        <v>49</v>
      </c>
      <c r="E253" s="2">
        <v>42491</v>
      </c>
      <c r="F253">
        <v>93577</v>
      </c>
      <c r="G253">
        <f>F253*0.12</f>
        <v>11229.24</v>
      </c>
      <c r="H253">
        <v>4</v>
      </c>
      <c r="I253" t="str">
        <f>IF(H253&gt;=4,"yes","no")</f>
        <v>yes</v>
      </c>
      <c r="J253" t="str">
        <f>IF(AND(D253&gt;30,H253&gt;=4),"yes","no")</f>
        <v>yes</v>
      </c>
      <c r="K253" t="s">
        <v>14</v>
      </c>
      <c r="L253">
        <v>17</v>
      </c>
    </row>
    <row r="254" spans="1:12" x14ac:dyDescent="0.35">
      <c r="A254">
        <v>1285</v>
      </c>
      <c r="B254" t="s">
        <v>302</v>
      </c>
      <c r="C254" t="s">
        <v>36</v>
      </c>
      <c r="D254">
        <v>34</v>
      </c>
      <c r="E254" s="2">
        <v>42289</v>
      </c>
      <c r="F254">
        <v>93344</v>
      </c>
      <c r="G254">
        <f>F254*0.12</f>
        <v>11201.279999999999</v>
      </c>
      <c r="H254">
        <v>2</v>
      </c>
      <c r="I254" t="str">
        <f>IF(H254&gt;=4,"yes","no")</f>
        <v>no</v>
      </c>
      <c r="J254" t="str">
        <f>IF(AND(D254&gt;30,H254&gt;=4),"yes","no")</f>
        <v>no</v>
      </c>
      <c r="K254" t="s">
        <v>14</v>
      </c>
      <c r="L254">
        <v>6</v>
      </c>
    </row>
    <row r="255" spans="1:12" x14ac:dyDescent="0.35">
      <c r="A255">
        <v>1510</v>
      </c>
      <c r="B255" t="s">
        <v>527</v>
      </c>
      <c r="C255" t="s">
        <v>36</v>
      </c>
      <c r="D255">
        <v>58</v>
      </c>
      <c r="E255" s="2">
        <v>42514</v>
      </c>
      <c r="F255">
        <v>91435</v>
      </c>
      <c r="G255">
        <f>F255*0.12</f>
        <v>10972.199999999999</v>
      </c>
      <c r="H255">
        <v>5</v>
      </c>
      <c r="I255" t="str">
        <f>IF(H255&gt;=4,"yes","no")</f>
        <v>yes</v>
      </c>
      <c r="J255" t="str">
        <f>IF(AND(D255&gt;30,H255&gt;=4),"yes","no")</f>
        <v>yes</v>
      </c>
      <c r="K255" t="s">
        <v>14</v>
      </c>
      <c r="L255">
        <v>8</v>
      </c>
    </row>
    <row r="256" spans="1:12" x14ac:dyDescent="0.35">
      <c r="A256">
        <v>1203</v>
      </c>
      <c r="B256" t="s">
        <v>220</v>
      </c>
      <c r="C256" t="s">
        <v>36</v>
      </c>
      <c r="D256">
        <v>31</v>
      </c>
      <c r="E256" s="2">
        <v>42207</v>
      </c>
      <c r="F256">
        <v>91262</v>
      </c>
      <c r="G256">
        <f>F256*0.12</f>
        <v>10951.439999999999</v>
      </c>
      <c r="H256">
        <v>2</v>
      </c>
      <c r="I256" t="str">
        <f>IF(H256&gt;=4,"yes","no")</f>
        <v>no</v>
      </c>
      <c r="J256" t="str">
        <f>IF(AND(D256&gt;30,H256&gt;=4),"yes","no")</f>
        <v>no</v>
      </c>
      <c r="K256" t="s">
        <v>23</v>
      </c>
      <c r="L256">
        <v>26</v>
      </c>
    </row>
    <row r="257" spans="1:12" x14ac:dyDescent="0.35">
      <c r="A257">
        <v>1100</v>
      </c>
      <c r="B257" t="s">
        <v>117</v>
      </c>
      <c r="C257" t="s">
        <v>36</v>
      </c>
      <c r="D257">
        <v>26</v>
      </c>
      <c r="E257" s="2">
        <v>42104</v>
      </c>
      <c r="F257">
        <v>91150</v>
      </c>
      <c r="G257">
        <f>F257*0.12</f>
        <v>10938</v>
      </c>
      <c r="H257">
        <v>4</v>
      </c>
      <c r="I257" t="str">
        <f>IF(H257&gt;=4,"yes","no")</f>
        <v>yes</v>
      </c>
      <c r="J257" t="str">
        <f>IF(AND(D257&gt;30,H257&gt;=4),"yes","no")</f>
        <v>no</v>
      </c>
      <c r="K257" t="s">
        <v>11</v>
      </c>
      <c r="L257">
        <v>11</v>
      </c>
    </row>
    <row r="258" spans="1:12" x14ac:dyDescent="0.35">
      <c r="A258">
        <v>1590</v>
      </c>
      <c r="B258" t="s">
        <v>607</v>
      </c>
      <c r="C258" t="s">
        <v>36</v>
      </c>
      <c r="D258">
        <v>49</v>
      </c>
      <c r="E258" s="2">
        <v>42594</v>
      </c>
      <c r="F258">
        <v>91061</v>
      </c>
      <c r="G258">
        <f>F258*0.12</f>
        <v>10927.32</v>
      </c>
      <c r="H258">
        <v>1</v>
      </c>
      <c r="I258" t="str">
        <f>IF(H258&gt;=4,"yes","no")</f>
        <v>no</v>
      </c>
      <c r="J258" t="str">
        <f>IF(AND(D258&gt;30,H258&gt;=4),"yes","no")</f>
        <v>no</v>
      </c>
      <c r="K258" t="s">
        <v>11</v>
      </c>
      <c r="L258">
        <v>11</v>
      </c>
    </row>
    <row r="259" spans="1:12" x14ac:dyDescent="0.35">
      <c r="A259">
        <v>1500</v>
      </c>
      <c r="B259" t="s">
        <v>517</v>
      </c>
      <c r="C259" t="s">
        <v>36</v>
      </c>
      <c r="D259">
        <v>49</v>
      </c>
      <c r="E259" s="2">
        <v>42504</v>
      </c>
      <c r="F259">
        <v>89881</v>
      </c>
      <c r="G259">
        <f>F259*0.12</f>
        <v>10785.72</v>
      </c>
      <c r="H259">
        <v>4</v>
      </c>
      <c r="I259" t="str">
        <f>IF(H259&gt;=4,"yes","no")</f>
        <v>yes</v>
      </c>
      <c r="J259" t="str">
        <f>IF(AND(D259&gt;30,H259&gt;=4),"yes","no")</f>
        <v>yes</v>
      </c>
      <c r="K259" t="s">
        <v>11</v>
      </c>
      <c r="L259">
        <v>7</v>
      </c>
    </row>
    <row r="260" spans="1:12" x14ac:dyDescent="0.35">
      <c r="A260">
        <v>1491</v>
      </c>
      <c r="B260" t="s">
        <v>508</v>
      </c>
      <c r="C260" t="s">
        <v>36</v>
      </c>
      <c r="D260">
        <v>29</v>
      </c>
      <c r="E260" s="2">
        <v>42495</v>
      </c>
      <c r="F260">
        <v>87768</v>
      </c>
      <c r="G260">
        <f>F260*0.12</f>
        <v>10532.16</v>
      </c>
      <c r="H260">
        <v>4</v>
      </c>
      <c r="I260" t="str">
        <f>IF(H260&gt;=4,"yes","no")</f>
        <v>yes</v>
      </c>
      <c r="J260" t="str">
        <f>IF(AND(D260&gt;30,H260&gt;=4),"yes","no")</f>
        <v>no</v>
      </c>
      <c r="K260" t="s">
        <v>11</v>
      </c>
      <c r="L260">
        <v>20</v>
      </c>
    </row>
    <row r="261" spans="1:12" x14ac:dyDescent="0.35">
      <c r="A261">
        <v>1506</v>
      </c>
      <c r="B261" t="s">
        <v>523</v>
      </c>
      <c r="C261" t="s">
        <v>36</v>
      </c>
      <c r="D261">
        <v>35</v>
      </c>
      <c r="E261" s="2">
        <v>42510</v>
      </c>
      <c r="F261">
        <v>86550</v>
      </c>
      <c r="G261">
        <f>F261*0.12</f>
        <v>10386</v>
      </c>
      <c r="H261">
        <v>5</v>
      </c>
      <c r="I261" t="str">
        <f>IF(H261&gt;=4,"yes","no")</f>
        <v>yes</v>
      </c>
      <c r="J261" t="str">
        <f>IF(AND(D261&gt;30,H261&gt;=4),"yes","no")</f>
        <v>yes</v>
      </c>
      <c r="K261" t="s">
        <v>19</v>
      </c>
      <c r="L261">
        <v>17</v>
      </c>
    </row>
    <row r="262" spans="1:12" x14ac:dyDescent="0.35">
      <c r="A262">
        <v>1441</v>
      </c>
      <c r="B262" t="s">
        <v>458</v>
      </c>
      <c r="C262" t="s">
        <v>36</v>
      </c>
      <c r="D262">
        <v>45</v>
      </c>
      <c r="E262" s="2">
        <v>42445</v>
      </c>
      <c r="F262">
        <v>85112</v>
      </c>
      <c r="G262">
        <f>F262*0.12</f>
        <v>10213.44</v>
      </c>
      <c r="H262">
        <v>1</v>
      </c>
      <c r="I262" t="str">
        <f>IF(H262&gt;=4,"yes","no")</f>
        <v>no</v>
      </c>
      <c r="J262" t="str">
        <f>IF(AND(D262&gt;30,H262&gt;=4),"yes","no")</f>
        <v>no</v>
      </c>
      <c r="K262" t="s">
        <v>17</v>
      </c>
      <c r="L262">
        <v>25</v>
      </c>
    </row>
    <row r="263" spans="1:12" x14ac:dyDescent="0.35">
      <c r="A263">
        <v>1164</v>
      </c>
      <c r="B263" t="s">
        <v>181</v>
      </c>
      <c r="C263" t="s">
        <v>36</v>
      </c>
      <c r="D263">
        <v>22</v>
      </c>
      <c r="E263" s="2">
        <v>42168</v>
      </c>
      <c r="F263">
        <v>82775</v>
      </c>
      <c r="G263">
        <f>F263*0.12</f>
        <v>9933</v>
      </c>
      <c r="H263">
        <v>5</v>
      </c>
      <c r="I263" t="str">
        <f>IF(H263&gt;=4,"yes","no")</f>
        <v>yes</v>
      </c>
      <c r="J263" t="str">
        <f>IF(AND(D263&gt;30,H263&gt;=4),"yes","no")</f>
        <v>no</v>
      </c>
      <c r="K263" t="s">
        <v>11</v>
      </c>
      <c r="L263">
        <v>23</v>
      </c>
    </row>
    <row r="264" spans="1:12" x14ac:dyDescent="0.35">
      <c r="A264">
        <v>1494</v>
      </c>
      <c r="B264" t="s">
        <v>511</v>
      </c>
      <c r="C264" t="s">
        <v>36</v>
      </c>
      <c r="D264">
        <v>45</v>
      </c>
      <c r="E264" s="2">
        <v>42498</v>
      </c>
      <c r="F264">
        <v>82660</v>
      </c>
      <c r="G264">
        <f>F264*0.12</f>
        <v>9919.1999999999989</v>
      </c>
      <c r="H264">
        <v>4</v>
      </c>
      <c r="I264" t="str">
        <f>IF(H264&gt;=4,"yes","no")</f>
        <v>yes</v>
      </c>
      <c r="J264" t="str">
        <f>IF(AND(D264&gt;30,H264&gt;=4),"yes","no")</f>
        <v>yes</v>
      </c>
      <c r="K264" t="s">
        <v>14</v>
      </c>
      <c r="L264">
        <v>21</v>
      </c>
    </row>
    <row r="265" spans="1:12" x14ac:dyDescent="0.35">
      <c r="A265">
        <v>1583</v>
      </c>
      <c r="B265" t="s">
        <v>600</v>
      </c>
      <c r="C265" t="s">
        <v>36</v>
      </c>
      <c r="D265">
        <v>55</v>
      </c>
      <c r="E265" s="2">
        <v>42587</v>
      </c>
      <c r="F265">
        <v>82056</v>
      </c>
      <c r="G265">
        <f>F265*0.12</f>
        <v>9846.7199999999993</v>
      </c>
      <c r="H265">
        <v>2</v>
      </c>
      <c r="I265" t="str">
        <f>IF(H265&gt;=4,"yes","no")</f>
        <v>no</v>
      </c>
      <c r="J265" t="str">
        <f>IF(AND(D265&gt;30,H265&gt;=4),"yes","no")</f>
        <v>no</v>
      </c>
      <c r="K265" t="s">
        <v>17</v>
      </c>
      <c r="L265">
        <v>24</v>
      </c>
    </row>
    <row r="266" spans="1:12" x14ac:dyDescent="0.35">
      <c r="A266">
        <v>1077</v>
      </c>
      <c r="B266" t="s">
        <v>94</v>
      </c>
      <c r="C266" t="s">
        <v>36</v>
      </c>
      <c r="D266">
        <v>58</v>
      </c>
      <c r="E266" s="2">
        <v>42081</v>
      </c>
      <c r="F266">
        <v>81276</v>
      </c>
      <c r="G266">
        <f>F266*0.12</f>
        <v>9753.119999999999</v>
      </c>
      <c r="H266">
        <v>2</v>
      </c>
      <c r="I266" t="str">
        <f>IF(H266&gt;=4,"yes","no")</f>
        <v>no</v>
      </c>
      <c r="J266" t="str">
        <f>IF(AND(D266&gt;30,H266&gt;=4),"yes","no")</f>
        <v>no</v>
      </c>
      <c r="K266" t="s">
        <v>17</v>
      </c>
      <c r="L266">
        <v>20</v>
      </c>
    </row>
    <row r="267" spans="1:12" hidden="1" x14ac:dyDescent="0.35">
      <c r="A267">
        <v>1025</v>
      </c>
      <c r="B267" t="s">
        <v>42</v>
      </c>
      <c r="C267" t="s">
        <v>36</v>
      </c>
      <c r="D267">
        <v>29</v>
      </c>
      <c r="E267" s="2">
        <v>42029</v>
      </c>
      <c r="F267">
        <v>79912</v>
      </c>
      <c r="G267">
        <f>F267*0.12</f>
        <v>9589.44</v>
      </c>
      <c r="H267">
        <v>1</v>
      </c>
      <c r="I267" t="str">
        <f>IF(H267&gt;=4,"yes","no")</f>
        <v>no</v>
      </c>
      <c r="J267" t="str">
        <f>IF(AND(D267&gt;30,H267&gt;=4),"yes","no")</f>
        <v>no</v>
      </c>
      <c r="K267" t="s">
        <v>11</v>
      </c>
      <c r="L267">
        <v>7</v>
      </c>
    </row>
    <row r="268" spans="1:12" hidden="1" x14ac:dyDescent="0.35">
      <c r="A268">
        <v>1219</v>
      </c>
      <c r="B268" t="s">
        <v>236</v>
      </c>
      <c r="C268" t="s">
        <v>36</v>
      </c>
      <c r="D268">
        <v>29</v>
      </c>
      <c r="E268" s="2">
        <v>42223</v>
      </c>
      <c r="F268">
        <v>79028</v>
      </c>
      <c r="G268">
        <f>F268*0.12</f>
        <v>9483.3599999999988</v>
      </c>
      <c r="H268">
        <v>4</v>
      </c>
      <c r="I268" t="str">
        <f>IF(H268&gt;=4,"yes","no")</f>
        <v>yes</v>
      </c>
      <c r="J268" t="str">
        <f>IF(AND(D268&gt;30,H268&gt;=4),"yes","no")</f>
        <v>no</v>
      </c>
      <c r="K268" t="s">
        <v>11</v>
      </c>
      <c r="L268">
        <v>21</v>
      </c>
    </row>
    <row r="269" spans="1:12" hidden="1" x14ac:dyDescent="0.35">
      <c r="A269">
        <v>1386</v>
      </c>
      <c r="B269" t="s">
        <v>403</v>
      </c>
      <c r="C269" t="s">
        <v>36</v>
      </c>
      <c r="D269">
        <v>31</v>
      </c>
      <c r="E269" s="2">
        <v>42390</v>
      </c>
      <c r="F269">
        <v>78331</v>
      </c>
      <c r="G269">
        <f>F269*0.12</f>
        <v>9399.7199999999993</v>
      </c>
      <c r="H269">
        <v>2</v>
      </c>
      <c r="I269" t="str">
        <f>IF(H269&gt;=4,"yes","no")</f>
        <v>no</v>
      </c>
      <c r="J269" t="str">
        <f>IF(AND(D269&gt;30,H269&gt;=4),"yes","no")</f>
        <v>no</v>
      </c>
      <c r="K269" t="s">
        <v>17</v>
      </c>
      <c r="L269">
        <v>6</v>
      </c>
    </row>
    <row r="270" spans="1:12" hidden="1" x14ac:dyDescent="0.35">
      <c r="A270">
        <v>1481</v>
      </c>
      <c r="B270" t="s">
        <v>498</v>
      </c>
      <c r="C270" t="s">
        <v>36</v>
      </c>
      <c r="D270">
        <v>31</v>
      </c>
      <c r="E270" s="2">
        <v>42485</v>
      </c>
      <c r="F270">
        <v>77326</v>
      </c>
      <c r="G270">
        <f>F270*0.12</f>
        <v>9279.119999999999</v>
      </c>
      <c r="H270">
        <v>5</v>
      </c>
      <c r="I270" t="str">
        <f>IF(H270&gt;=4,"yes","no")</f>
        <v>yes</v>
      </c>
      <c r="J270" t="str">
        <f>IF(AND(D270&gt;30,H270&gt;=4),"yes","no")</f>
        <v>yes</v>
      </c>
      <c r="K270" t="s">
        <v>23</v>
      </c>
      <c r="L270">
        <v>7</v>
      </c>
    </row>
    <row r="271" spans="1:12" hidden="1" x14ac:dyDescent="0.35">
      <c r="A271">
        <v>1095</v>
      </c>
      <c r="B271" t="s">
        <v>112</v>
      </c>
      <c r="C271" t="s">
        <v>36</v>
      </c>
      <c r="D271">
        <v>47</v>
      </c>
      <c r="E271" s="2">
        <v>42099</v>
      </c>
      <c r="F271">
        <v>76571</v>
      </c>
      <c r="G271">
        <f>F271*0.12</f>
        <v>9188.52</v>
      </c>
      <c r="H271">
        <v>2</v>
      </c>
      <c r="I271" t="str">
        <f>IF(H271&gt;=4,"yes","no")</f>
        <v>no</v>
      </c>
      <c r="J271" t="str">
        <f>IF(AND(D271&gt;30,H271&gt;=4),"yes","no")</f>
        <v>no</v>
      </c>
      <c r="K271" t="s">
        <v>14</v>
      </c>
      <c r="L271">
        <v>20</v>
      </c>
    </row>
    <row r="272" spans="1:12" hidden="1" x14ac:dyDescent="0.35">
      <c r="A272">
        <v>1042</v>
      </c>
      <c r="B272" t="s">
        <v>59</v>
      </c>
      <c r="C272" t="s">
        <v>36</v>
      </c>
      <c r="D272">
        <v>34</v>
      </c>
      <c r="E272" s="2">
        <v>42046</v>
      </c>
      <c r="F272">
        <v>76474</v>
      </c>
      <c r="G272">
        <f>F272*0.12</f>
        <v>9176.8799999999992</v>
      </c>
      <c r="H272">
        <v>4</v>
      </c>
      <c r="I272" t="str">
        <f>IF(H272&gt;=4,"yes","no")</f>
        <v>yes</v>
      </c>
      <c r="J272" t="str">
        <f>IF(AND(D272&gt;30,H272&gt;=4),"yes","no")</f>
        <v>yes</v>
      </c>
      <c r="K272" t="s">
        <v>23</v>
      </c>
      <c r="L272">
        <v>12</v>
      </c>
    </row>
    <row r="273" spans="1:12" hidden="1" x14ac:dyDescent="0.35">
      <c r="A273">
        <v>1333</v>
      </c>
      <c r="B273" t="s">
        <v>350</v>
      </c>
      <c r="C273" t="s">
        <v>36</v>
      </c>
      <c r="D273">
        <v>36</v>
      </c>
      <c r="E273" s="2">
        <v>42337</v>
      </c>
      <c r="F273">
        <v>75192</v>
      </c>
      <c r="G273">
        <f>F273*0.12</f>
        <v>9023.0399999999991</v>
      </c>
      <c r="H273">
        <v>5</v>
      </c>
      <c r="I273" t="str">
        <f>IF(H273&gt;=4,"yes","no")</f>
        <v>yes</v>
      </c>
      <c r="J273" t="str">
        <f>IF(AND(D273&gt;30,H273&gt;=4),"yes","no")</f>
        <v>yes</v>
      </c>
      <c r="K273" t="s">
        <v>14</v>
      </c>
      <c r="L273">
        <v>2</v>
      </c>
    </row>
    <row r="274" spans="1:12" hidden="1" x14ac:dyDescent="0.35">
      <c r="A274">
        <v>1283</v>
      </c>
      <c r="B274" t="s">
        <v>300</v>
      </c>
      <c r="C274" t="s">
        <v>36</v>
      </c>
      <c r="D274">
        <v>31</v>
      </c>
      <c r="E274" s="2">
        <v>42287</v>
      </c>
      <c r="F274">
        <v>74708</v>
      </c>
      <c r="G274">
        <f>F274*0.12</f>
        <v>8964.9599999999991</v>
      </c>
      <c r="H274">
        <v>4</v>
      </c>
      <c r="I274" t="str">
        <f>IF(H274&gt;=4,"yes","no")</f>
        <v>yes</v>
      </c>
      <c r="J274" t="str">
        <f>IF(AND(D274&gt;30,H274&gt;=4),"yes","no")</f>
        <v>yes</v>
      </c>
      <c r="K274" t="s">
        <v>19</v>
      </c>
      <c r="L274">
        <v>21</v>
      </c>
    </row>
    <row r="275" spans="1:12" hidden="1" x14ac:dyDescent="0.35">
      <c r="A275">
        <v>1592</v>
      </c>
      <c r="B275" t="s">
        <v>609</v>
      </c>
      <c r="C275" t="s">
        <v>36</v>
      </c>
      <c r="D275">
        <v>22</v>
      </c>
      <c r="E275" s="2">
        <v>42596</v>
      </c>
      <c r="F275">
        <v>74153</v>
      </c>
      <c r="G275">
        <f>F275*0.12</f>
        <v>8898.3599999999988</v>
      </c>
      <c r="H275">
        <v>1</v>
      </c>
      <c r="I275" t="str">
        <f>IF(H275&gt;=4,"yes","no")</f>
        <v>no</v>
      </c>
      <c r="J275" t="str">
        <f>IF(AND(D275&gt;30,H275&gt;=4),"yes","no")</f>
        <v>no</v>
      </c>
      <c r="K275" t="s">
        <v>11</v>
      </c>
      <c r="L275">
        <v>9</v>
      </c>
    </row>
    <row r="276" spans="1:12" hidden="1" x14ac:dyDescent="0.35">
      <c r="A276">
        <v>1181</v>
      </c>
      <c r="B276" t="s">
        <v>198</v>
      </c>
      <c r="C276" t="s">
        <v>36</v>
      </c>
      <c r="D276">
        <v>56</v>
      </c>
      <c r="E276" s="2">
        <v>42185</v>
      </c>
      <c r="F276">
        <v>73280</v>
      </c>
      <c r="G276">
        <f>F276*0.12</f>
        <v>8793.6</v>
      </c>
      <c r="H276">
        <v>5</v>
      </c>
      <c r="I276" t="str">
        <f>IF(H276&gt;=4,"yes","no")</f>
        <v>yes</v>
      </c>
      <c r="J276" t="str">
        <f>IF(AND(D276&gt;30,H276&gt;=4),"yes","no")</f>
        <v>yes</v>
      </c>
      <c r="K276" t="s">
        <v>14</v>
      </c>
      <c r="L276">
        <v>28</v>
      </c>
    </row>
    <row r="277" spans="1:12" hidden="1" x14ac:dyDescent="0.35">
      <c r="A277">
        <v>1019</v>
      </c>
      <c r="B277" t="s">
        <v>35</v>
      </c>
      <c r="C277" t="s">
        <v>36</v>
      </c>
      <c r="D277">
        <v>37</v>
      </c>
      <c r="E277" s="2">
        <v>42023</v>
      </c>
      <c r="F277">
        <v>72304</v>
      </c>
      <c r="G277">
        <f>F277*0.12</f>
        <v>8676.48</v>
      </c>
      <c r="H277">
        <v>3</v>
      </c>
      <c r="I277" t="str">
        <f>IF(H277&gt;=4,"yes","no")</f>
        <v>no</v>
      </c>
      <c r="J277" t="str">
        <f>IF(AND(D277&gt;30,H277&gt;=4),"yes","no")</f>
        <v>no</v>
      </c>
      <c r="K277" t="s">
        <v>14</v>
      </c>
      <c r="L277">
        <v>3</v>
      </c>
    </row>
    <row r="278" spans="1:12" hidden="1" x14ac:dyDescent="0.35">
      <c r="A278">
        <v>1204</v>
      </c>
      <c r="B278" t="s">
        <v>221</v>
      </c>
      <c r="C278" t="s">
        <v>36</v>
      </c>
      <c r="D278">
        <v>38</v>
      </c>
      <c r="E278" s="2">
        <v>42208</v>
      </c>
      <c r="F278">
        <v>71600</v>
      </c>
      <c r="G278">
        <f>F278*0.12</f>
        <v>8592</v>
      </c>
      <c r="H278">
        <v>1</v>
      </c>
      <c r="I278" t="str">
        <f>IF(H278&gt;=4,"yes","no")</f>
        <v>no</v>
      </c>
      <c r="J278" t="str">
        <f>IF(AND(D278&gt;30,H278&gt;=4),"yes","no")</f>
        <v>no</v>
      </c>
      <c r="K278" t="s">
        <v>17</v>
      </c>
      <c r="L278">
        <v>14</v>
      </c>
    </row>
    <row r="279" spans="1:12" hidden="1" x14ac:dyDescent="0.35">
      <c r="A279">
        <v>1237</v>
      </c>
      <c r="B279" t="s">
        <v>254</v>
      </c>
      <c r="C279" t="s">
        <v>36</v>
      </c>
      <c r="D279">
        <v>45</v>
      </c>
      <c r="E279" s="2">
        <v>42241</v>
      </c>
      <c r="F279">
        <v>71542</v>
      </c>
      <c r="G279">
        <f>F279*0.12</f>
        <v>8585.0399999999991</v>
      </c>
      <c r="H279">
        <v>2</v>
      </c>
      <c r="I279" t="str">
        <f>IF(H279&gt;=4,"yes","no")</f>
        <v>no</v>
      </c>
      <c r="J279" t="str">
        <f>IF(AND(D279&gt;30,H279&gt;=4),"yes","no")</f>
        <v>no</v>
      </c>
      <c r="K279" t="s">
        <v>23</v>
      </c>
      <c r="L279">
        <v>6</v>
      </c>
    </row>
    <row r="280" spans="1:12" hidden="1" x14ac:dyDescent="0.35">
      <c r="A280">
        <v>1257</v>
      </c>
      <c r="B280" t="s">
        <v>274</v>
      </c>
      <c r="C280" t="s">
        <v>36</v>
      </c>
      <c r="D280">
        <v>32</v>
      </c>
      <c r="E280" s="2">
        <v>42261</v>
      </c>
      <c r="F280">
        <v>70648</v>
      </c>
      <c r="G280">
        <f>F280*0.12</f>
        <v>8477.76</v>
      </c>
      <c r="H280">
        <v>2</v>
      </c>
      <c r="I280" t="str">
        <f>IF(H280&gt;=4,"yes","no")</f>
        <v>no</v>
      </c>
      <c r="J280" t="str">
        <f>IF(AND(D280&gt;30,H280&gt;=4),"yes","no")</f>
        <v>no</v>
      </c>
      <c r="K280" t="s">
        <v>11</v>
      </c>
      <c r="L280">
        <v>21</v>
      </c>
    </row>
    <row r="281" spans="1:12" hidden="1" x14ac:dyDescent="0.35">
      <c r="A281">
        <v>1461</v>
      </c>
      <c r="B281" t="s">
        <v>478</v>
      </c>
      <c r="C281" t="s">
        <v>36</v>
      </c>
      <c r="D281">
        <v>53</v>
      </c>
      <c r="E281" s="2">
        <v>42465</v>
      </c>
      <c r="F281">
        <v>68408</v>
      </c>
      <c r="G281">
        <f>F281*0.12</f>
        <v>8208.9599999999991</v>
      </c>
      <c r="H281">
        <v>4</v>
      </c>
      <c r="I281" t="str">
        <f>IF(H281&gt;=4,"yes","no")</f>
        <v>yes</v>
      </c>
      <c r="J281" t="str">
        <f>IF(AND(D281&gt;30,H281&gt;=4),"yes","no")</f>
        <v>yes</v>
      </c>
      <c r="K281" t="s">
        <v>17</v>
      </c>
      <c r="L281">
        <v>0</v>
      </c>
    </row>
    <row r="282" spans="1:12" hidden="1" x14ac:dyDescent="0.35">
      <c r="A282">
        <v>1172</v>
      </c>
      <c r="B282" t="s">
        <v>189</v>
      </c>
      <c r="C282" t="s">
        <v>36</v>
      </c>
      <c r="D282">
        <v>30</v>
      </c>
      <c r="E282" s="2">
        <v>42176</v>
      </c>
      <c r="F282">
        <v>68001</v>
      </c>
      <c r="G282">
        <f>F282*0.12</f>
        <v>8160.12</v>
      </c>
      <c r="H282">
        <v>4</v>
      </c>
      <c r="I282" t="str">
        <f>IF(H282&gt;=4,"yes","no")</f>
        <v>yes</v>
      </c>
      <c r="J282" t="str">
        <f>IF(AND(D282&gt;30,H282&gt;=4),"yes","no")</f>
        <v>no</v>
      </c>
      <c r="K282" t="s">
        <v>14</v>
      </c>
      <c r="L282">
        <v>13</v>
      </c>
    </row>
    <row r="283" spans="1:12" hidden="1" x14ac:dyDescent="0.35">
      <c r="A283">
        <v>1189</v>
      </c>
      <c r="B283" t="s">
        <v>206</v>
      </c>
      <c r="C283" t="s">
        <v>36</v>
      </c>
      <c r="D283">
        <v>45</v>
      </c>
      <c r="E283" s="2">
        <v>42193</v>
      </c>
      <c r="F283">
        <v>66844</v>
      </c>
      <c r="G283">
        <f>F283*0.12</f>
        <v>8021.28</v>
      </c>
      <c r="H283">
        <v>5</v>
      </c>
      <c r="I283" t="str">
        <f>IF(H283&gt;=4,"yes","no")</f>
        <v>yes</v>
      </c>
      <c r="J283" t="str">
        <f>IF(AND(D283&gt;30,H283&gt;=4),"yes","no")</f>
        <v>yes</v>
      </c>
      <c r="K283" t="s">
        <v>14</v>
      </c>
      <c r="L283">
        <v>4</v>
      </c>
    </row>
    <row r="284" spans="1:12" hidden="1" x14ac:dyDescent="0.35">
      <c r="A284">
        <v>1559</v>
      </c>
      <c r="B284" t="s">
        <v>576</v>
      </c>
      <c r="C284" t="s">
        <v>36</v>
      </c>
      <c r="D284">
        <v>47</v>
      </c>
      <c r="E284" s="2">
        <v>42563</v>
      </c>
      <c r="F284">
        <v>64443</v>
      </c>
      <c r="G284">
        <f>F284*0.12</f>
        <v>7733.16</v>
      </c>
      <c r="H284">
        <v>2</v>
      </c>
      <c r="I284" t="str">
        <f>IF(H284&gt;=4,"yes","no")</f>
        <v>no</v>
      </c>
      <c r="J284" t="str">
        <f>IF(AND(D284&gt;30,H284&gt;=4),"yes","no")</f>
        <v>no</v>
      </c>
      <c r="K284" t="s">
        <v>19</v>
      </c>
      <c r="L284">
        <v>22</v>
      </c>
    </row>
    <row r="285" spans="1:12" hidden="1" x14ac:dyDescent="0.35">
      <c r="A285">
        <v>1383</v>
      </c>
      <c r="B285" t="s">
        <v>400</v>
      </c>
      <c r="C285" t="s">
        <v>36</v>
      </c>
      <c r="D285">
        <v>26</v>
      </c>
      <c r="E285" s="2">
        <v>42387</v>
      </c>
      <c r="F285">
        <v>64214</v>
      </c>
      <c r="G285">
        <f>F285*0.12</f>
        <v>7705.6799999999994</v>
      </c>
      <c r="H285">
        <v>1</v>
      </c>
      <c r="I285" t="str">
        <f>IF(H285&gt;=4,"yes","no")</f>
        <v>no</v>
      </c>
      <c r="J285" t="str">
        <f>IF(AND(D285&gt;30,H285&gt;=4),"yes","no")</f>
        <v>no</v>
      </c>
      <c r="K285" t="s">
        <v>23</v>
      </c>
      <c r="L285">
        <v>7</v>
      </c>
    </row>
    <row r="286" spans="1:12" hidden="1" x14ac:dyDescent="0.35">
      <c r="A286">
        <v>1415</v>
      </c>
      <c r="B286" t="s">
        <v>432</v>
      </c>
      <c r="C286" t="s">
        <v>36</v>
      </c>
      <c r="D286">
        <v>47</v>
      </c>
      <c r="E286" s="2">
        <v>42419</v>
      </c>
      <c r="F286">
        <v>64110</v>
      </c>
      <c r="G286">
        <f>F286*0.12</f>
        <v>7693.2</v>
      </c>
      <c r="H286">
        <v>5</v>
      </c>
      <c r="I286" t="str">
        <f>IF(H286&gt;=4,"yes","no")</f>
        <v>yes</v>
      </c>
      <c r="J286" t="str">
        <f>IF(AND(D286&gt;30,H286&gt;=4),"yes","no")</f>
        <v>yes</v>
      </c>
      <c r="K286" t="s">
        <v>19</v>
      </c>
      <c r="L286">
        <v>2</v>
      </c>
    </row>
    <row r="287" spans="1:12" hidden="1" x14ac:dyDescent="0.35">
      <c r="A287">
        <v>1188</v>
      </c>
      <c r="B287" t="s">
        <v>205</v>
      </c>
      <c r="C287" t="s">
        <v>36</v>
      </c>
      <c r="D287">
        <v>35</v>
      </c>
      <c r="E287" s="2">
        <v>42192</v>
      </c>
      <c r="F287">
        <v>63197</v>
      </c>
      <c r="G287">
        <f>F287*0.12</f>
        <v>7583.6399999999994</v>
      </c>
      <c r="H287">
        <v>5</v>
      </c>
      <c r="I287" t="str">
        <f>IF(H287&gt;=4,"yes","no")</f>
        <v>yes</v>
      </c>
      <c r="J287" t="str">
        <f>IF(AND(D287&gt;30,H287&gt;=4),"yes","no")</f>
        <v>yes</v>
      </c>
      <c r="K287" t="s">
        <v>23</v>
      </c>
      <c r="L287">
        <v>28</v>
      </c>
    </row>
    <row r="288" spans="1:12" hidden="1" x14ac:dyDescent="0.35">
      <c r="A288">
        <v>1024</v>
      </c>
      <c r="B288" t="s">
        <v>41</v>
      </c>
      <c r="C288" t="s">
        <v>36</v>
      </c>
      <c r="D288">
        <v>49</v>
      </c>
      <c r="E288" s="2">
        <v>42028</v>
      </c>
      <c r="F288">
        <v>62904</v>
      </c>
      <c r="G288">
        <f>F288*0.12</f>
        <v>7548.48</v>
      </c>
      <c r="H288">
        <v>1</v>
      </c>
      <c r="I288" t="str">
        <f>IF(H288&gt;=4,"yes","no")</f>
        <v>no</v>
      </c>
      <c r="J288" t="str">
        <f>IF(AND(D288&gt;30,H288&gt;=4),"yes","no")</f>
        <v>no</v>
      </c>
      <c r="K288" t="s">
        <v>11</v>
      </c>
      <c r="L288">
        <v>27</v>
      </c>
    </row>
    <row r="289" spans="1:12" hidden="1" x14ac:dyDescent="0.35">
      <c r="A289">
        <v>1541</v>
      </c>
      <c r="B289" t="s">
        <v>558</v>
      </c>
      <c r="C289" t="s">
        <v>36</v>
      </c>
      <c r="D289">
        <v>55</v>
      </c>
      <c r="E289" s="2">
        <v>42545</v>
      </c>
      <c r="F289">
        <v>62412</v>
      </c>
      <c r="G289">
        <f>F289*0.12</f>
        <v>7489.44</v>
      </c>
      <c r="H289">
        <v>3</v>
      </c>
      <c r="I289" t="str">
        <f>IF(H289&gt;=4,"yes","no")</f>
        <v>no</v>
      </c>
      <c r="J289" t="str">
        <f>IF(AND(D289&gt;30,H289&gt;=4),"yes","no")</f>
        <v>no</v>
      </c>
      <c r="K289" t="s">
        <v>23</v>
      </c>
      <c r="L289">
        <v>1</v>
      </c>
    </row>
    <row r="290" spans="1:12" hidden="1" x14ac:dyDescent="0.35">
      <c r="A290">
        <v>1311</v>
      </c>
      <c r="B290" t="s">
        <v>328</v>
      </c>
      <c r="C290" t="s">
        <v>36</v>
      </c>
      <c r="D290">
        <v>29</v>
      </c>
      <c r="E290" s="2">
        <v>42315</v>
      </c>
      <c r="F290">
        <v>62311</v>
      </c>
      <c r="G290">
        <f>F290*0.12</f>
        <v>7477.32</v>
      </c>
      <c r="H290">
        <v>3</v>
      </c>
      <c r="I290" t="str">
        <f>IF(H290&gt;=4,"yes","no")</f>
        <v>no</v>
      </c>
      <c r="J290" t="str">
        <f>IF(AND(D290&gt;30,H290&gt;=4),"yes","no")</f>
        <v>no</v>
      </c>
      <c r="K290" t="s">
        <v>11</v>
      </c>
      <c r="L290">
        <v>29</v>
      </c>
    </row>
    <row r="291" spans="1:12" hidden="1" x14ac:dyDescent="0.35">
      <c r="A291">
        <v>1082</v>
      </c>
      <c r="B291" t="s">
        <v>99</v>
      </c>
      <c r="C291" t="s">
        <v>36</v>
      </c>
      <c r="D291">
        <v>38</v>
      </c>
      <c r="E291" s="2">
        <v>42086</v>
      </c>
      <c r="F291">
        <v>62198</v>
      </c>
      <c r="G291">
        <f>F291*0.12</f>
        <v>7463.7599999999993</v>
      </c>
      <c r="H291">
        <v>2</v>
      </c>
      <c r="I291" t="str">
        <f>IF(H291&gt;=4,"yes","no")</f>
        <v>no</v>
      </c>
      <c r="J291" t="str">
        <f>IF(AND(D291&gt;30,H291&gt;=4),"yes","no")</f>
        <v>no</v>
      </c>
      <c r="K291" t="s">
        <v>14</v>
      </c>
      <c r="L291">
        <v>23</v>
      </c>
    </row>
    <row r="292" spans="1:12" hidden="1" x14ac:dyDescent="0.35">
      <c r="A292">
        <v>1293</v>
      </c>
      <c r="B292" t="s">
        <v>310</v>
      </c>
      <c r="C292" t="s">
        <v>36</v>
      </c>
      <c r="D292">
        <v>32</v>
      </c>
      <c r="E292" s="2">
        <v>42297</v>
      </c>
      <c r="F292">
        <v>61509</v>
      </c>
      <c r="G292">
        <f>F292*0.12</f>
        <v>7381.08</v>
      </c>
      <c r="H292">
        <v>1</v>
      </c>
      <c r="I292" t="str">
        <f>IF(H292&gt;=4,"yes","no")</f>
        <v>no</v>
      </c>
      <c r="J292" t="str">
        <f>IF(AND(D292&gt;30,H292&gt;=4),"yes","no")</f>
        <v>no</v>
      </c>
      <c r="K292" t="s">
        <v>23</v>
      </c>
      <c r="L292">
        <v>25</v>
      </c>
    </row>
    <row r="293" spans="1:12" hidden="1" x14ac:dyDescent="0.35">
      <c r="A293">
        <v>1046</v>
      </c>
      <c r="B293" t="s">
        <v>63</v>
      </c>
      <c r="C293" t="s">
        <v>36</v>
      </c>
      <c r="D293">
        <v>26</v>
      </c>
      <c r="E293" s="2">
        <v>42050</v>
      </c>
      <c r="F293">
        <v>60772</v>
      </c>
      <c r="G293">
        <f>F293*0.12</f>
        <v>7292.6399999999994</v>
      </c>
      <c r="H293">
        <v>5</v>
      </c>
      <c r="I293" t="str">
        <f>IF(H293&gt;=4,"yes","no")</f>
        <v>yes</v>
      </c>
      <c r="J293" t="str">
        <f>IF(AND(D293&gt;30,H293&gt;=4),"yes","no")</f>
        <v>no</v>
      </c>
      <c r="K293" t="s">
        <v>11</v>
      </c>
      <c r="L293">
        <v>18</v>
      </c>
    </row>
    <row r="294" spans="1:12" hidden="1" x14ac:dyDescent="0.35">
      <c r="A294">
        <v>1105</v>
      </c>
      <c r="B294" t="s">
        <v>122</v>
      </c>
      <c r="C294" t="s">
        <v>36</v>
      </c>
      <c r="D294">
        <v>36</v>
      </c>
      <c r="E294" s="2">
        <v>42109</v>
      </c>
      <c r="F294">
        <v>60435</v>
      </c>
      <c r="G294">
        <f>F294*0.12</f>
        <v>7252.2</v>
      </c>
      <c r="H294">
        <v>1</v>
      </c>
      <c r="I294" t="str">
        <f>IF(H294&gt;=4,"yes","no")</f>
        <v>no</v>
      </c>
      <c r="J294" t="str">
        <f>IF(AND(D294&gt;30,H294&gt;=4),"yes","no")</f>
        <v>no</v>
      </c>
      <c r="K294" t="s">
        <v>23</v>
      </c>
      <c r="L294">
        <v>11</v>
      </c>
    </row>
    <row r="295" spans="1:12" hidden="1" x14ac:dyDescent="0.35">
      <c r="A295">
        <v>1307</v>
      </c>
      <c r="B295" t="s">
        <v>324</v>
      </c>
      <c r="C295" t="s">
        <v>36</v>
      </c>
      <c r="D295">
        <v>56</v>
      </c>
      <c r="E295" s="2">
        <v>42311</v>
      </c>
      <c r="F295">
        <v>59832</v>
      </c>
      <c r="G295">
        <f>F295*0.12</f>
        <v>7179.84</v>
      </c>
      <c r="H295">
        <v>3</v>
      </c>
      <c r="I295" t="str">
        <f>IF(H295&gt;=4,"yes","no")</f>
        <v>no</v>
      </c>
      <c r="J295" t="str">
        <f>IF(AND(D295&gt;30,H295&gt;=4),"yes","no")</f>
        <v>no</v>
      </c>
      <c r="K295" t="s">
        <v>14</v>
      </c>
      <c r="L295">
        <v>3</v>
      </c>
    </row>
    <row r="296" spans="1:12" hidden="1" x14ac:dyDescent="0.35">
      <c r="A296">
        <v>1225</v>
      </c>
      <c r="B296" t="s">
        <v>242</v>
      </c>
      <c r="C296" t="s">
        <v>36</v>
      </c>
      <c r="D296">
        <v>27</v>
      </c>
      <c r="E296" s="2">
        <v>42229</v>
      </c>
      <c r="F296">
        <v>59701</v>
      </c>
      <c r="G296">
        <f>F296*0.12</f>
        <v>7164.12</v>
      </c>
      <c r="H296">
        <v>5</v>
      </c>
      <c r="I296" t="str">
        <f>IF(H296&gt;=4,"yes","no")</f>
        <v>yes</v>
      </c>
      <c r="J296" t="str">
        <f>IF(AND(D296&gt;30,H296&gt;=4),"yes","no")</f>
        <v>no</v>
      </c>
      <c r="K296" t="s">
        <v>23</v>
      </c>
      <c r="L296">
        <v>9</v>
      </c>
    </row>
    <row r="297" spans="1:12" hidden="1" x14ac:dyDescent="0.35">
      <c r="A297">
        <v>1499</v>
      </c>
      <c r="B297" t="s">
        <v>516</v>
      </c>
      <c r="C297" t="s">
        <v>36</v>
      </c>
      <c r="D297">
        <v>54</v>
      </c>
      <c r="E297" s="2">
        <v>42503</v>
      </c>
      <c r="F297">
        <v>58320</v>
      </c>
      <c r="G297">
        <f>F297*0.12</f>
        <v>6998.4</v>
      </c>
      <c r="H297">
        <v>4</v>
      </c>
      <c r="I297" t="str">
        <f>IF(H297&gt;=4,"yes","no")</f>
        <v>yes</v>
      </c>
      <c r="J297" t="str">
        <f>IF(AND(D297&gt;30,H297&gt;=4),"yes","no")</f>
        <v>yes</v>
      </c>
      <c r="K297" t="s">
        <v>11</v>
      </c>
      <c r="L297">
        <v>22</v>
      </c>
    </row>
    <row r="298" spans="1:12" hidden="1" x14ac:dyDescent="0.35">
      <c r="A298">
        <v>1273</v>
      </c>
      <c r="B298" t="s">
        <v>290</v>
      </c>
      <c r="C298" t="s">
        <v>36</v>
      </c>
      <c r="D298">
        <v>58</v>
      </c>
      <c r="E298" s="2">
        <v>42277</v>
      </c>
      <c r="F298">
        <v>58130</v>
      </c>
      <c r="G298">
        <f>F298*0.12</f>
        <v>6975.5999999999995</v>
      </c>
      <c r="H298">
        <v>5</v>
      </c>
      <c r="I298" t="str">
        <f>IF(H298&gt;=4,"yes","no")</f>
        <v>yes</v>
      </c>
      <c r="J298" t="str">
        <f>IF(AND(D298&gt;30,H298&gt;=4),"yes","no")</f>
        <v>yes</v>
      </c>
      <c r="K298" t="s">
        <v>11</v>
      </c>
      <c r="L298">
        <v>26</v>
      </c>
    </row>
    <row r="299" spans="1:12" hidden="1" x14ac:dyDescent="0.35">
      <c r="A299">
        <v>1162</v>
      </c>
      <c r="B299" t="s">
        <v>179</v>
      </c>
      <c r="C299" t="s">
        <v>36</v>
      </c>
      <c r="D299">
        <v>42</v>
      </c>
      <c r="E299" s="2">
        <v>42166</v>
      </c>
      <c r="F299">
        <v>57913</v>
      </c>
      <c r="G299">
        <f>F299*0.12</f>
        <v>6949.5599999999995</v>
      </c>
      <c r="H299">
        <v>4</v>
      </c>
      <c r="I299" t="str">
        <f>IF(H299&gt;=4,"yes","no")</f>
        <v>yes</v>
      </c>
      <c r="J299" t="str">
        <f>IF(AND(D299&gt;30,H299&gt;=4),"yes","no")</f>
        <v>yes</v>
      </c>
      <c r="K299" t="s">
        <v>11</v>
      </c>
      <c r="L299">
        <v>29</v>
      </c>
    </row>
    <row r="300" spans="1:12" hidden="1" x14ac:dyDescent="0.35">
      <c r="A300">
        <v>1154</v>
      </c>
      <c r="B300" t="s">
        <v>171</v>
      </c>
      <c r="C300" t="s">
        <v>36</v>
      </c>
      <c r="D300">
        <v>50</v>
      </c>
      <c r="E300" s="2">
        <v>42158</v>
      </c>
      <c r="F300">
        <v>57733</v>
      </c>
      <c r="G300">
        <f>F300*0.12</f>
        <v>6927.96</v>
      </c>
      <c r="H300">
        <v>3</v>
      </c>
      <c r="I300" t="str">
        <f>IF(H300&gt;=4,"yes","no")</f>
        <v>no</v>
      </c>
      <c r="J300" t="str">
        <f>IF(AND(D300&gt;30,H300&gt;=4),"yes","no")</f>
        <v>no</v>
      </c>
      <c r="K300" t="s">
        <v>11</v>
      </c>
      <c r="L300">
        <v>11</v>
      </c>
    </row>
    <row r="301" spans="1:12" hidden="1" x14ac:dyDescent="0.35">
      <c r="A301">
        <v>1159</v>
      </c>
      <c r="B301" t="s">
        <v>176</v>
      </c>
      <c r="C301" t="s">
        <v>36</v>
      </c>
      <c r="D301">
        <v>39</v>
      </c>
      <c r="E301" s="2">
        <v>42163</v>
      </c>
      <c r="F301">
        <v>57413</v>
      </c>
      <c r="G301">
        <f>F301*0.12</f>
        <v>6889.5599999999995</v>
      </c>
      <c r="H301">
        <v>5</v>
      </c>
      <c r="I301" t="str">
        <f>IF(H301&gt;=4,"yes","no")</f>
        <v>yes</v>
      </c>
      <c r="J301" t="str">
        <f>IF(AND(D301&gt;30,H301&gt;=4),"yes","no")</f>
        <v>yes</v>
      </c>
      <c r="K301" t="s">
        <v>17</v>
      </c>
      <c r="L301">
        <v>12</v>
      </c>
    </row>
    <row r="302" spans="1:12" hidden="1" x14ac:dyDescent="0.35">
      <c r="A302">
        <v>1389</v>
      </c>
      <c r="B302" t="s">
        <v>406</v>
      </c>
      <c r="C302" t="s">
        <v>36</v>
      </c>
      <c r="D302">
        <v>29</v>
      </c>
      <c r="E302" s="2">
        <v>42393</v>
      </c>
      <c r="F302">
        <v>57196</v>
      </c>
      <c r="G302">
        <f>F302*0.12</f>
        <v>6863.5199999999995</v>
      </c>
      <c r="H302">
        <v>3</v>
      </c>
      <c r="I302" t="str">
        <f>IF(H302&gt;=4,"yes","no")</f>
        <v>no</v>
      </c>
      <c r="J302" t="str">
        <f>IF(AND(D302&gt;30,H302&gt;=4),"yes","no")</f>
        <v>no</v>
      </c>
      <c r="K302" t="s">
        <v>19</v>
      </c>
      <c r="L302">
        <v>3</v>
      </c>
    </row>
    <row r="303" spans="1:12" hidden="1" x14ac:dyDescent="0.35">
      <c r="A303">
        <v>1264</v>
      </c>
      <c r="B303" t="s">
        <v>281</v>
      </c>
      <c r="C303" t="s">
        <v>36</v>
      </c>
      <c r="D303">
        <v>40</v>
      </c>
      <c r="E303" s="2">
        <v>42268</v>
      </c>
      <c r="F303">
        <v>55561</v>
      </c>
      <c r="G303">
        <f>F303*0.12</f>
        <v>6667.32</v>
      </c>
      <c r="H303">
        <v>3</v>
      </c>
      <c r="I303" t="str">
        <f>IF(H303&gt;=4,"yes","no")</f>
        <v>no</v>
      </c>
      <c r="J303" t="str">
        <f>IF(AND(D303&gt;30,H303&gt;=4),"yes","no")</f>
        <v>no</v>
      </c>
      <c r="K303" t="s">
        <v>17</v>
      </c>
      <c r="L303">
        <v>20</v>
      </c>
    </row>
    <row r="304" spans="1:12" hidden="1" x14ac:dyDescent="0.35">
      <c r="A304">
        <v>1178</v>
      </c>
      <c r="B304" t="s">
        <v>195</v>
      </c>
      <c r="C304" t="s">
        <v>36</v>
      </c>
      <c r="D304">
        <v>57</v>
      </c>
      <c r="E304" s="2">
        <v>42182</v>
      </c>
      <c r="F304">
        <v>54757</v>
      </c>
      <c r="G304">
        <f>F304*0.12</f>
        <v>6570.84</v>
      </c>
      <c r="H304">
        <v>5</v>
      </c>
      <c r="I304" t="str">
        <f>IF(H304&gt;=4,"yes","no")</f>
        <v>yes</v>
      </c>
      <c r="J304" t="str">
        <f>IF(AND(D304&gt;30,H304&gt;=4),"yes","no")</f>
        <v>yes</v>
      </c>
      <c r="K304" t="s">
        <v>19</v>
      </c>
      <c r="L304">
        <v>17</v>
      </c>
    </row>
    <row r="305" spans="1:12" hidden="1" x14ac:dyDescent="0.35">
      <c r="A305">
        <v>1034</v>
      </c>
      <c r="B305" t="s">
        <v>51</v>
      </c>
      <c r="C305" t="s">
        <v>36</v>
      </c>
      <c r="D305">
        <v>48</v>
      </c>
      <c r="E305" s="2">
        <v>42038</v>
      </c>
      <c r="F305">
        <v>53145</v>
      </c>
      <c r="G305">
        <f>F305*0.12</f>
        <v>6377.4</v>
      </c>
      <c r="H305">
        <v>1</v>
      </c>
      <c r="I305" t="str">
        <f>IF(H305&gt;=4,"yes","no")</f>
        <v>no</v>
      </c>
      <c r="J305" t="str">
        <f>IF(AND(D305&gt;30,H305&gt;=4),"yes","no")</f>
        <v>no</v>
      </c>
      <c r="K305" t="s">
        <v>11</v>
      </c>
      <c r="L305">
        <v>6</v>
      </c>
    </row>
    <row r="306" spans="1:12" hidden="1" x14ac:dyDescent="0.35">
      <c r="A306">
        <v>1071</v>
      </c>
      <c r="B306" t="s">
        <v>88</v>
      </c>
      <c r="C306" t="s">
        <v>36</v>
      </c>
      <c r="D306">
        <v>26</v>
      </c>
      <c r="E306" s="2">
        <v>42075</v>
      </c>
      <c r="F306">
        <v>52935</v>
      </c>
      <c r="G306">
        <f>F306*0.12</f>
        <v>6352.2</v>
      </c>
      <c r="H306">
        <v>2</v>
      </c>
      <c r="I306" t="str">
        <f>IF(H306&gt;=4,"yes","no")</f>
        <v>no</v>
      </c>
      <c r="J306" t="str">
        <f>IF(AND(D306&gt;30,H306&gt;=4),"yes","no")</f>
        <v>no</v>
      </c>
      <c r="K306" t="s">
        <v>23</v>
      </c>
      <c r="L306">
        <v>0</v>
      </c>
    </row>
    <row r="307" spans="1:12" hidden="1" x14ac:dyDescent="0.35">
      <c r="A307">
        <v>1584</v>
      </c>
      <c r="B307" t="s">
        <v>601</v>
      </c>
      <c r="C307" t="s">
        <v>36</v>
      </c>
      <c r="D307">
        <v>33</v>
      </c>
      <c r="E307" s="2">
        <v>42588</v>
      </c>
      <c r="F307">
        <v>52490</v>
      </c>
      <c r="G307">
        <f>F307*0.12</f>
        <v>6298.8</v>
      </c>
      <c r="H307">
        <v>5</v>
      </c>
      <c r="I307" t="str">
        <f>IF(H307&gt;=4,"yes","no")</f>
        <v>yes</v>
      </c>
      <c r="J307" t="str">
        <f>IF(AND(D307&gt;30,H307&gt;=4),"yes","no")</f>
        <v>yes</v>
      </c>
      <c r="K307" t="s">
        <v>11</v>
      </c>
      <c r="L307">
        <v>29</v>
      </c>
    </row>
    <row r="308" spans="1:12" hidden="1" x14ac:dyDescent="0.35">
      <c r="A308">
        <v>1325</v>
      </c>
      <c r="B308" t="s">
        <v>342</v>
      </c>
      <c r="C308" t="s">
        <v>36</v>
      </c>
      <c r="D308">
        <v>46</v>
      </c>
      <c r="E308" s="2">
        <v>42329</v>
      </c>
      <c r="F308">
        <v>51660</v>
      </c>
      <c r="G308">
        <f>F308*0.12</f>
        <v>6199.2</v>
      </c>
      <c r="H308">
        <v>1</v>
      </c>
      <c r="I308" t="str">
        <f>IF(H308&gt;=4,"yes","no")</f>
        <v>no</v>
      </c>
      <c r="J308" t="str">
        <f>IF(AND(D308&gt;30,H308&gt;=4),"yes","no")</f>
        <v>no</v>
      </c>
      <c r="K308" t="s">
        <v>17</v>
      </c>
      <c r="L308">
        <v>17</v>
      </c>
    </row>
    <row r="309" spans="1:12" hidden="1" x14ac:dyDescent="0.35">
      <c r="A309">
        <v>1502</v>
      </c>
      <c r="B309" t="s">
        <v>519</v>
      </c>
      <c r="C309" t="s">
        <v>36</v>
      </c>
      <c r="D309">
        <v>55</v>
      </c>
      <c r="E309" s="2">
        <v>42506</v>
      </c>
      <c r="F309">
        <v>51289</v>
      </c>
      <c r="G309">
        <f>F309*0.12</f>
        <v>6154.6799999999994</v>
      </c>
      <c r="H309">
        <v>3</v>
      </c>
      <c r="I309" t="str">
        <f>IF(H309&gt;=4,"yes","no")</f>
        <v>no</v>
      </c>
      <c r="J309" t="str">
        <f>IF(AND(D309&gt;30,H309&gt;=4),"yes","no")</f>
        <v>no</v>
      </c>
      <c r="K309" t="s">
        <v>11</v>
      </c>
      <c r="L309">
        <v>11</v>
      </c>
    </row>
    <row r="310" spans="1:12" hidden="1" x14ac:dyDescent="0.35">
      <c r="A310">
        <v>1498</v>
      </c>
      <c r="B310" t="s">
        <v>515</v>
      </c>
      <c r="C310" t="s">
        <v>36</v>
      </c>
      <c r="D310">
        <v>24</v>
      </c>
      <c r="E310" s="2">
        <v>42502</v>
      </c>
      <c r="F310">
        <v>51015</v>
      </c>
      <c r="G310">
        <f>F310*0.12</f>
        <v>6121.8</v>
      </c>
      <c r="H310">
        <v>2</v>
      </c>
      <c r="I310" t="str">
        <f>IF(H310&gt;=4,"yes","no")</f>
        <v>no</v>
      </c>
      <c r="J310" t="str">
        <f>IF(AND(D310&gt;30,H310&gt;=4),"yes","no")</f>
        <v>no</v>
      </c>
      <c r="K310" t="s">
        <v>19</v>
      </c>
      <c r="L310">
        <v>26</v>
      </c>
    </row>
    <row r="311" spans="1:12" hidden="1" x14ac:dyDescent="0.35">
      <c r="A311">
        <v>1243</v>
      </c>
      <c r="B311" t="s">
        <v>260</v>
      </c>
      <c r="C311" t="s">
        <v>36</v>
      </c>
      <c r="D311">
        <v>45</v>
      </c>
      <c r="E311" s="2">
        <v>42247</v>
      </c>
      <c r="F311">
        <v>50559</v>
      </c>
      <c r="G311">
        <f>F311*0.12</f>
        <v>6067.08</v>
      </c>
      <c r="H311">
        <v>4</v>
      </c>
      <c r="I311" t="str">
        <f>IF(H311&gt;=4,"yes","no")</f>
        <v>yes</v>
      </c>
      <c r="J311" t="str">
        <f>IF(AND(D311&gt;30,H311&gt;=4),"yes","no")</f>
        <v>yes</v>
      </c>
      <c r="K311" t="s">
        <v>19</v>
      </c>
      <c r="L311">
        <v>28</v>
      </c>
    </row>
    <row r="312" spans="1:12" hidden="1" x14ac:dyDescent="0.35">
      <c r="A312">
        <v>1341</v>
      </c>
      <c r="B312" t="s">
        <v>358</v>
      </c>
      <c r="C312" t="s">
        <v>36</v>
      </c>
      <c r="D312">
        <v>27</v>
      </c>
      <c r="E312" s="2">
        <v>42345</v>
      </c>
      <c r="F312">
        <v>48821</v>
      </c>
      <c r="G312">
        <f>F312*0.12</f>
        <v>5858.5199999999995</v>
      </c>
      <c r="H312">
        <v>5</v>
      </c>
      <c r="I312" t="str">
        <f>IF(H312&gt;=4,"yes","no")</f>
        <v>yes</v>
      </c>
      <c r="J312" t="str">
        <f>IF(AND(D312&gt;30,H312&gt;=4),"yes","no")</f>
        <v>no</v>
      </c>
      <c r="K312" t="s">
        <v>11</v>
      </c>
      <c r="L312">
        <v>16</v>
      </c>
    </row>
    <row r="313" spans="1:12" hidden="1" x14ac:dyDescent="0.35">
      <c r="A313">
        <v>1111</v>
      </c>
      <c r="B313" t="s">
        <v>128</v>
      </c>
      <c r="C313" t="s">
        <v>36</v>
      </c>
      <c r="D313">
        <v>59</v>
      </c>
      <c r="E313" s="2">
        <v>42115</v>
      </c>
      <c r="F313">
        <v>48510</v>
      </c>
      <c r="G313">
        <f>F313*0.12</f>
        <v>5821.2</v>
      </c>
      <c r="H313">
        <v>4</v>
      </c>
      <c r="I313" t="str">
        <f>IF(H313&gt;=4,"yes","no")</f>
        <v>yes</v>
      </c>
      <c r="J313" t="str">
        <f>IF(AND(D313&gt;30,H313&gt;=4),"yes","no")</f>
        <v>yes</v>
      </c>
      <c r="K313" t="s">
        <v>17</v>
      </c>
      <c r="L313">
        <v>15</v>
      </c>
    </row>
    <row r="314" spans="1:12" hidden="1" x14ac:dyDescent="0.35">
      <c r="A314">
        <v>1449</v>
      </c>
      <c r="B314" t="s">
        <v>466</v>
      </c>
      <c r="C314" t="s">
        <v>36</v>
      </c>
      <c r="D314">
        <v>38</v>
      </c>
      <c r="E314" s="2">
        <v>42453</v>
      </c>
      <c r="F314">
        <v>46804</v>
      </c>
      <c r="G314">
        <f>F314*0.12</f>
        <v>5616.48</v>
      </c>
      <c r="H314">
        <v>4</v>
      </c>
      <c r="I314" t="str">
        <f>IF(H314&gt;=4,"yes","no")</f>
        <v>yes</v>
      </c>
      <c r="J314" t="str">
        <f>IF(AND(D314&gt;30,H314&gt;=4),"yes","no")</f>
        <v>yes</v>
      </c>
      <c r="K314" t="s">
        <v>17</v>
      </c>
      <c r="L314">
        <v>7</v>
      </c>
    </row>
    <row r="315" spans="1:12" hidden="1" x14ac:dyDescent="0.35">
      <c r="A315">
        <v>1348</v>
      </c>
      <c r="B315" t="s">
        <v>365</v>
      </c>
      <c r="C315" t="s">
        <v>36</v>
      </c>
      <c r="D315">
        <v>51</v>
      </c>
      <c r="E315" s="2">
        <v>42352</v>
      </c>
      <c r="F315">
        <v>46427</v>
      </c>
      <c r="G315">
        <f>F315*0.12</f>
        <v>5571.24</v>
      </c>
      <c r="H315">
        <v>2</v>
      </c>
      <c r="I315" t="str">
        <f>IF(H315&gt;=4,"yes","no")</f>
        <v>no</v>
      </c>
      <c r="J315" t="str">
        <f>IF(AND(D315&gt;30,H315&gt;=4),"yes","no")</f>
        <v>no</v>
      </c>
      <c r="K315" t="s">
        <v>17</v>
      </c>
      <c r="L315">
        <v>4</v>
      </c>
    </row>
    <row r="316" spans="1:12" hidden="1" x14ac:dyDescent="0.35">
      <c r="A316">
        <v>1039</v>
      </c>
      <c r="B316" t="s">
        <v>56</v>
      </c>
      <c r="C316" t="s">
        <v>36</v>
      </c>
      <c r="D316">
        <v>34</v>
      </c>
      <c r="E316" s="2">
        <v>42043</v>
      </c>
      <c r="F316">
        <v>45581</v>
      </c>
      <c r="G316">
        <f>F316*0.12</f>
        <v>5469.7199999999993</v>
      </c>
      <c r="H316">
        <v>5</v>
      </c>
      <c r="I316" t="str">
        <f>IF(H316&gt;=4,"yes","no")</f>
        <v>yes</v>
      </c>
      <c r="J316" t="str">
        <f>IF(AND(D316&gt;30,H316&gt;=4),"yes","no")</f>
        <v>yes</v>
      </c>
      <c r="K316" t="s">
        <v>14</v>
      </c>
      <c r="L316">
        <v>1</v>
      </c>
    </row>
    <row r="317" spans="1:12" hidden="1" x14ac:dyDescent="0.35">
      <c r="A317">
        <v>1528</v>
      </c>
      <c r="B317" t="s">
        <v>545</v>
      </c>
      <c r="C317" t="s">
        <v>36</v>
      </c>
      <c r="D317">
        <v>26</v>
      </c>
      <c r="E317" s="2">
        <v>42532</v>
      </c>
      <c r="F317">
        <v>45022</v>
      </c>
      <c r="G317">
        <f>F317*0.12</f>
        <v>5402.6399999999994</v>
      </c>
      <c r="H317">
        <v>2</v>
      </c>
      <c r="I317" t="str">
        <f>IF(H317&gt;=4,"yes","no")</f>
        <v>no</v>
      </c>
      <c r="J317" t="str">
        <f>IF(AND(D317&gt;30,H317&gt;=4),"yes","no")</f>
        <v>no</v>
      </c>
      <c r="K317" t="s">
        <v>11</v>
      </c>
      <c r="L317">
        <v>5</v>
      </c>
    </row>
    <row r="318" spans="1:12" hidden="1" x14ac:dyDescent="0.35">
      <c r="A318">
        <v>1403</v>
      </c>
      <c r="B318" t="s">
        <v>420</v>
      </c>
      <c r="C318" t="s">
        <v>36</v>
      </c>
      <c r="D318">
        <v>29</v>
      </c>
      <c r="E318" s="2">
        <v>42407</v>
      </c>
      <c r="F318">
        <v>43639</v>
      </c>
      <c r="G318">
        <f>F318*0.12</f>
        <v>5236.6799999999994</v>
      </c>
      <c r="H318">
        <v>3</v>
      </c>
      <c r="I318" t="str">
        <f>IF(H318&gt;=4,"yes","no")</f>
        <v>no</v>
      </c>
      <c r="J318" t="str">
        <f>IF(AND(D318&gt;30,H318&gt;=4),"yes","no")</f>
        <v>no</v>
      </c>
      <c r="K318" t="s">
        <v>11</v>
      </c>
      <c r="L318">
        <v>2</v>
      </c>
    </row>
    <row r="319" spans="1:12" hidden="1" x14ac:dyDescent="0.35">
      <c r="A319">
        <v>1232</v>
      </c>
      <c r="B319" t="s">
        <v>249</v>
      </c>
      <c r="C319" t="s">
        <v>36</v>
      </c>
      <c r="D319">
        <v>25</v>
      </c>
      <c r="E319" s="2">
        <v>42236</v>
      </c>
      <c r="F319">
        <v>42602</v>
      </c>
      <c r="G319">
        <f>F319*0.12</f>
        <v>5112.24</v>
      </c>
      <c r="H319">
        <v>2</v>
      </c>
      <c r="I319" t="str">
        <f>IF(H319&gt;=4,"yes","no")</f>
        <v>no</v>
      </c>
      <c r="J319" t="str">
        <f>IF(AND(D319&gt;30,H319&gt;=4),"yes","no")</f>
        <v>no</v>
      </c>
      <c r="K319" t="s">
        <v>14</v>
      </c>
      <c r="L319">
        <v>13</v>
      </c>
    </row>
    <row r="320" spans="1:12" hidden="1" x14ac:dyDescent="0.35">
      <c r="A320">
        <v>1549</v>
      </c>
      <c r="B320" t="s">
        <v>566</v>
      </c>
      <c r="C320" t="s">
        <v>36</v>
      </c>
      <c r="D320">
        <v>53</v>
      </c>
      <c r="E320" s="2">
        <v>42553</v>
      </c>
      <c r="F320">
        <v>41309</v>
      </c>
      <c r="G320">
        <f>F320*0.12</f>
        <v>4957.08</v>
      </c>
      <c r="H320">
        <v>5</v>
      </c>
      <c r="I320" t="str">
        <f>IF(H320&gt;=4,"yes","no")</f>
        <v>yes</v>
      </c>
      <c r="J320" t="str">
        <f>IF(AND(D320&gt;30,H320&gt;=4),"yes","no")</f>
        <v>yes</v>
      </c>
      <c r="K320" t="s">
        <v>11</v>
      </c>
      <c r="L320">
        <v>18</v>
      </c>
    </row>
    <row r="321" spans="1:12" hidden="1" x14ac:dyDescent="0.35">
      <c r="A321">
        <v>1119</v>
      </c>
      <c r="B321" t="s">
        <v>136</v>
      </c>
      <c r="C321" t="s">
        <v>36</v>
      </c>
      <c r="D321">
        <v>55</v>
      </c>
      <c r="E321" s="2">
        <v>42123</v>
      </c>
      <c r="F321">
        <v>40317</v>
      </c>
      <c r="G321">
        <f>F321*0.12</f>
        <v>4838.04</v>
      </c>
      <c r="H321">
        <v>1</v>
      </c>
      <c r="I321" t="str">
        <f>IF(H321&gt;=4,"yes","no")</f>
        <v>no</v>
      </c>
      <c r="J321" t="str">
        <f>IF(AND(D321&gt;30,H321&gt;=4),"yes","no")</f>
        <v>no</v>
      </c>
      <c r="K321" t="s">
        <v>14</v>
      </c>
      <c r="L321">
        <v>23</v>
      </c>
    </row>
    <row r="322" spans="1:12" hidden="1" x14ac:dyDescent="0.35">
      <c r="A322">
        <v>1198</v>
      </c>
      <c r="B322" t="s">
        <v>215</v>
      </c>
      <c r="C322" t="s">
        <v>36</v>
      </c>
      <c r="D322">
        <v>56</v>
      </c>
      <c r="E322" s="2">
        <v>42202</v>
      </c>
      <c r="F322">
        <v>39199</v>
      </c>
      <c r="G322">
        <f>F322*0.12</f>
        <v>4703.88</v>
      </c>
      <c r="H322">
        <v>4</v>
      </c>
      <c r="I322" t="str">
        <f>IF(H322&gt;=4,"yes","no")</f>
        <v>yes</v>
      </c>
      <c r="J322" t="str">
        <f>IF(AND(D322&gt;30,H322&gt;=4),"yes","no")</f>
        <v>yes</v>
      </c>
      <c r="K322" t="s">
        <v>11</v>
      </c>
      <c r="L322">
        <v>27</v>
      </c>
    </row>
    <row r="323" spans="1:12" hidden="1" x14ac:dyDescent="0.35">
      <c r="A323">
        <v>1152</v>
      </c>
      <c r="B323" t="s">
        <v>169</v>
      </c>
      <c r="C323" t="s">
        <v>36</v>
      </c>
      <c r="D323">
        <v>24</v>
      </c>
      <c r="E323" s="2">
        <v>42156</v>
      </c>
      <c r="F323">
        <v>37676</v>
      </c>
      <c r="G323">
        <f>F323*0.12</f>
        <v>4521.12</v>
      </c>
      <c r="H323">
        <v>2</v>
      </c>
      <c r="I323" t="str">
        <f>IF(H323&gt;=4,"yes","no")</f>
        <v>no</v>
      </c>
      <c r="J323" t="str">
        <f>IF(AND(D323&gt;30,H323&gt;=4),"yes","no")</f>
        <v>no</v>
      </c>
      <c r="K323" t="s">
        <v>19</v>
      </c>
      <c r="L323">
        <v>19</v>
      </c>
    </row>
    <row r="324" spans="1:12" hidden="1" x14ac:dyDescent="0.35">
      <c r="A324">
        <v>1359</v>
      </c>
      <c r="B324" t="s">
        <v>376</v>
      </c>
      <c r="C324" t="s">
        <v>36</v>
      </c>
      <c r="D324">
        <v>23</v>
      </c>
      <c r="E324" s="2">
        <v>42363</v>
      </c>
      <c r="F324">
        <v>36745</v>
      </c>
      <c r="G324">
        <f>F324*0.12</f>
        <v>4409.3999999999996</v>
      </c>
      <c r="H324">
        <v>1</v>
      </c>
      <c r="I324" t="str">
        <f>IF(H324&gt;=4,"yes","no")</f>
        <v>no</v>
      </c>
      <c r="J324" t="str">
        <f>IF(AND(D324&gt;30,H324&gt;=4),"yes","no")</f>
        <v>no</v>
      </c>
      <c r="K324" t="s">
        <v>17</v>
      </c>
      <c r="L324">
        <v>10</v>
      </c>
    </row>
    <row r="325" spans="1:12" hidden="1" x14ac:dyDescent="0.35">
      <c r="A325">
        <v>1427</v>
      </c>
      <c r="B325" t="s">
        <v>444</v>
      </c>
      <c r="C325" t="s">
        <v>36</v>
      </c>
      <c r="D325">
        <v>47</v>
      </c>
      <c r="E325" s="2">
        <v>42431</v>
      </c>
      <c r="F325">
        <v>36536</v>
      </c>
      <c r="G325">
        <f>F325*0.12</f>
        <v>4384.32</v>
      </c>
      <c r="H325">
        <v>4</v>
      </c>
      <c r="I325" t="str">
        <f>IF(H325&gt;=4,"yes","no")</f>
        <v>yes</v>
      </c>
      <c r="J325" t="str">
        <f>IF(AND(D325&gt;30,H325&gt;=4),"yes","no")</f>
        <v>yes</v>
      </c>
      <c r="K325" t="s">
        <v>14</v>
      </c>
      <c r="L325">
        <v>5</v>
      </c>
    </row>
    <row r="326" spans="1:12" hidden="1" x14ac:dyDescent="0.35">
      <c r="A326">
        <v>1086</v>
      </c>
      <c r="B326" t="s">
        <v>103</v>
      </c>
      <c r="C326" t="s">
        <v>36</v>
      </c>
      <c r="D326">
        <v>22</v>
      </c>
      <c r="E326" s="2">
        <v>42090</v>
      </c>
      <c r="F326">
        <v>36122</v>
      </c>
      <c r="G326">
        <f>F326*0.12</f>
        <v>4334.6399999999994</v>
      </c>
      <c r="H326">
        <v>5</v>
      </c>
      <c r="I326" t="str">
        <f>IF(H326&gt;=4,"yes","no")</f>
        <v>yes</v>
      </c>
      <c r="J326" t="str">
        <f>IF(AND(D326&gt;30,H326&gt;=4),"yes","no")</f>
        <v>no</v>
      </c>
      <c r="K326" t="s">
        <v>23</v>
      </c>
      <c r="L326">
        <v>20</v>
      </c>
    </row>
    <row r="327" spans="1:12" hidden="1" x14ac:dyDescent="0.35">
      <c r="A327">
        <v>1153</v>
      </c>
      <c r="B327" t="s">
        <v>170</v>
      </c>
      <c r="C327" t="s">
        <v>36</v>
      </c>
      <c r="D327">
        <v>48</v>
      </c>
      <c r="E327" s="2">
        <v>42157</v>
      </c>
      <c r="F327">
        <v>35816</v>
      </c>
      <c r="G327">
        <f>F327*0.12</f>
        <v>4297.92</v>
      </c>
      <c r="H327">
        <v>3</v>
      </c>
      <c r="I327" t="str">
        <f>IF(H327&gt;=4,"yes","no")</f>
        <v>no</v>
      </c>
      <c r="J327" t="str">
        <f>IF(AND(D327&gt;30,H327&gt;=4),"yes","no")</f>
        <v>no</v>
      </c>
      <c r="K327" t="s">
        <v>17</v>
      </c>
      <c r="L327">
        <v>23</v>
      </c>
    </row>
    <row r="328" spans="1:12" hidden="1" x14ac:dyDescent="0.35">
      <c r="A328">
        <v>1522</v>
      </c>
      <c r="B328" t="s">
        <v>539</v>
      </c>
      <c r="C328" t="s">
        <v>36</v>
      </c>
      <c r="D328">
        <v>40</v>
      </c>
      <c r="E328" s="2">
        <v>42526</v>
      </c>
      <c r="F328">
        <v>35326</v>
      </c>
      <c r="G328">
        <f>F328*0.12</f>
        <v>4239.12</v>
      </c>
      <c r="H328">
        <v>2</v>
      </c>
      <c r="I328" t="str">
        <f>IF(H328&gt;=4,"yes","no")</f>
        <v>no</v>
      </c>
      <c r="J328" t="str">
        <f>IF(AND(D328&gt;30,H328&gt;=4),"yes","no")</f>
        <v>no</v>
      </c>
      <c r="K328" t="s">
        <v>17</v>
      </c>
      <c r="L328">
        <v>16</v>
      </c>
    </row>
    <row r="329" spans="1:12" hidden="1" x14ac:dyDescent="0.35">
      <c r="A329">
        <v>1337</v>
      </c>
      <c r="B329" t="s">
        <v>354</v>
      </c>
      <c r="C329" t="s">
        <v>36</v>
      </c>
      <c r="D329">
        <v>54</v>
      </c>
      <c r="E329" s="2">
        <v>42341</v>
      </c>
      <c r="F329">
        <v>34077</v>
      </c>
      <c r="G329">
        <f>F329*0.12</f>
        <v>4089.24</v>
      </c>
      <c r="H329">
        <v>4</v>
      </c>
      <c r="I329" t="str">
        <f>IF(H329&gt;=4,"yes","no")</f>
        <v>yes</v>
      </c>
      <c r="J329" t="str">
        <f>IF(AND(D329&gt;30,H329&gt;=4),"yes","no")</f>
        <v>yes</v>
      </c>
      <c r="K329" t="s">
        <v>17</v>
      </c>
      <c r="L329">
        <v>19</v>
      </c>
    </row>
    <row r="330" spans="1:12" hidden="1" x14ac:dyDescent="0.35">
      <c r="A330">
        <v>1432</v>
      </c>
      <c r="B330" t="s">
        <v>449</v>
      </c>
      <c r="C330" t="s">
        <v>36</v>
      </c>
      <c r="D330">
        <v>39</v>
      </c>
      <c r="E330" s="2">
        <v>42436</v>
      </c>
      <c r="F330">
        <v>33712</v>
      </c>
      <c r="G330">
        <f>F330*0.12</f>
        <v>4045.44</v>
      </c>
      <c r="H330">
        <v>2</v>
      </c>
      <c r="I330" t="str">
        <f>IF(H330&gt;=4,"yes","no")</f>
        <v>no</v>
      </c>
      <c r="J330" t="str">
        <f>IF(AND(D330&gt;30,H330&gt;=4),"yes","no")</f>
        <v>no</v>
      </c>
      <c r="K330" t="s">
        <v>17</v>
      </c>
      <c r="L330">
        <v>22</v>
      </c>
    </row>
    <row r="331" spans="1:12" hidden="1" x14ac:dyDescent="0.35">
      <c r="A331">
        <v>1353</v>
      </c>
      <c r="B331" t="s">
        <v>370</v>
      </c>
      <c r="C331" t="s">
        <v>36</v>
      </c>
      <c r="D331">
        <v>54</v>
      </c>
      <c r="E331" s="2">
        <v>42357</v>
      </c>
      <c r="F331">
        <v>32813</v>
      </c>
      <c r="G331">
        <f>F331*0.12</f>
        <v>3937.56</v>
      </c>
      <c r="H331">
        <v>5</v>
      </c>
      <c r="I331" t="str">
        <f>IF(H331&gt;=4,"yes","no")</f>
        <v>yes</v>
      </c>
      <c r="J331" t="str">
        <f>IF(AND(D331&gt;30,H331&gt;=4),"yes","no")</f>
        <v>yes</v>
      </c>
      <c r="K331" t="s">
        <v>14</v>
      </c>
      <c r="L331">
        <v>22</v>
      </c>
    </row>
    <row r="332" spans="1:12" hidden="1" x14ac:dyDescent="0.35">
      <c r="A332">
        <v>1391</v>
      </c>
      <c r="B332" t="s">
        <v>408</v>
      </c>
      <c r="C332" t="s">
        <v>36</v>
      </c>
      <c r="D332">
        <v>47</v>
      </c>
      <c r="E332" s="2">
        <v>42395</v>
      </c>
      <c r="F332">
        <v>32424</v>
      </c>
      <c r="G332">
        <f>F332*0.12</f>
        <v>3890.8799999999997</v>
      </c>
      <c r="H332">
        <v>4</v>
      </c>
      <c r="I332" t="str">
        <f>IF(H332&gt;=4,"yes","no")</f>
        <v>yes</v>
      </c>
      <c r="J332" t="str">
        <f>IF(AND(D332&gt;30,H332&gt;=4),"yes","no")</f>
        <v>yes</v>
      </c>
      <c r="K332" t="s">
        <v>23</v>
      </c>
      <c r="L332">
        <v>4</v>
      </c>
    </row>
    <row r="333" spans="1:12" hidden="1" x14ac:dyDescent="0.35">
      <c r="A333">
        <v>1268</v>
      </c>
      <c r="B333" t="s">
        <v>285</v>
      </c>
      <c r="C333" t="s">
        <v>36</v>
      </c>
      <c r="D333">
        <v>33</v>
      </c>
      <c r="E333" s="2">
        <v>42272</v>
      </c>
      <c r="F333">
        <v>32314</v>
      </c>
      <c r="G333">
        <f>F333*0.12</f>
        <v>3877.68</v>
      </c>
      <c r="H333">
        <v>5</v>
      </c>
      <c r="I333" t="str">
        <f>IF(H333&gt;=4,"yes","no")</f>
        <v>yes</v>
      </c>
      <c r="J333" t="str">
        <f>IF(AND(D333&gt;30,H333&gt;=4),"yes","no")</f>
        <v>yes</v>
      </c>
      <c r="K333" t="s">
        <v>17</v>
      </c>
      <c r="L333">
        <v>16</v>
      </c>
    </row>
    <row r="334" spans="1:12" hidden="1" x14ac:dyDescent="0.35">
      <c r="A334">
        <v>1220</v>
      </c>
      <c r="B334" t="s">
        <v>237</v>
      </c>
      <c r="C334" t="s">
        <v>36</v>
      </c>
      <c r="D334">
        <v>40</v>
      </c>
      <c r="E334" s="2">
        <v>42224</v>
      </c>
      <c r="F334">
        <v>32287</v>
      </c>
      <c r="G334">
        <f>F334*0.12</f>
        <v>3874.44</v>
      </c>
      <c r="H334">
        <v>1</v>
      </c>
      <c r="I334" t="str">
        <f>IF(H334&gt;=4,"yes","no")</f>
        <v>no</v>
      </c>
      <c r="J334" t="str">
        <f>IF(AND(D334&gt;30,H334&gt;=4),"yes","no")</f>
        <v>no</v>
      </c>
      <c r="K334" t="s">
        <v>23</v>
      </c>
      <c r="L334">
        <v>20</v>
      </c>
    </row>
    <row r="335" spans="1:12" hidden="1" x14ac:dyDescent="0.35">
      <c r="A335">
        <v>1092</v>
      </c>
      <c r="B335" t="s">
        <v>109</v>
      </c>
      <c r="C335" t="s">
        <v>36</v>
      </c>
      <c r="D335">
        <v>49</v>
      </c>
      <c r="E335" s="2">
        <v>42096</v>
      </c>
      <c r="F335">
        <v>31737</v>
      </c>
      <c r="G335">
        <f>F335*0.12</f>
        <v>3808.44</v>
      </c>
      <c r="H335">
        <v>2</v>
      </c>
      <c r="I335" t="str">
        <f>IF(H335&gt;=4,"yes","no")</f>
        <v>no</v>
      </c>
      <c r="J335" t="str">
        <f>IF(AND(D335&gt;30,H335&gt;=4),"yes","no")</f>
        <v>no</v>
      </c>
      <c r="K335" t="s">
        <v>14</v>
      </c>
      <c r="L335">
        <v>12</v>
      </c>
    </row>
    <row r="336" spans="1:12" hidden="1" x14ac:dyDescent="0.35">
      <c r="A336">
        <v>1448</v>
      </c>
      <c r="B336" t="s">
        <v>465</v>
      </c>
      <c r="C336" t="s">
        <v>36</v>
      </c>
      <c r="D336">
        <v>28</v>
      </c>
      <c r="E336" s="2">
        <v>42452</v>
      </c>
      <c r="F336">
        <v>31154</v>
      </c>
      <c r="G336">
        <f>F336*0.12</f>
        <v>3738.48</v>
      </c>
      <c r="H336">
        <v>1</v>
      </c>
      <c r="I336" t="str">
        <f>IF(H336&gt;=4,"yes","no")</f>
        <v>no</v>
      </c>
      <c r="J336" t="str">
        <f>IF(AND(D336&gt;30,H336&gt;=4),"yes","no")</f>
        <v>no</v>
      </c>
      <c r="K336" t="s">
        <v>17</v>
      </c>
      <c r="L336">
        <v>2</v>
      </c>
    </row>
    <row r="337" spans="1:12" hidden="1" x14ac:dyDescent="0.35">
      <c r="A337">
        <v>1407</v>
      </c>
      <c r="B337" t="s">
        <v>424</v>
      </c>
      <c r="C337" t="s">
        <v>36</v>
      </c>
      <c r="D337">
        <v>50</v>
      </c>
      <c r="E337" s="2">
        <v>42411</v>
      </c>
      <c r="F337">
        <v>30776</v>
      </c>
      <c r="G337">
        <f>F337*0.12</f>
        <v>3693.12</v>
      </c>
      <c r="H337">
        <v>5</v>
      </c>
      <c r="I337" t="str">
        <f>IF(H337&gt;=4,"yes","no")</f>
        <v>yes</v>
      </c>
      <c r="J337" t="str">
        <f>IF(AND(D337&gt;30,H337&gt;=4),"yes","no")</f>
        <v>yes</v>
      </c>
      <c r="K337" t="s">
        <v>14</v>
      </c>
      <c r="L337">
        <v>8</v>
      </c>
    </row>
    <row r="338" spans="1:12" hidden="1" x14ac:dyDescent="0.35">
      <c r="A338">
        <v>1326</v>
      </c>
      <c r="B338" t="s">
        <v>343</v>
      </c>
      <c r="C338" t="s">
        <v>36</v>
      </c>
      <c r="D338">
        <v>39</v>
      </c>
      <c r="E338" s="2">
        <v>42330</v>
      </c>
      <c r="F338">
        <v>30084</v>
      </c>
      <c r="G338">
        <f>F338*0.12</f>
        <v>3610.08</v>
      </c>
      <c r="H338">
        <v>2</v>
      </c>
      <c r="I338" t="str">
        <f>IF(H338&gt;=4,"yes","no")</f>
        <v>no</v>
      </c>
      <c r="J338" t="str">
        <f>IF(AND(D338&gt;30,H338&gt;=4),"yes","no")</f>
        <v>no</v>
      </c>
      <c r="K338" t="s">
        <v>19</v>
      </c>
      <c r="L338">
        <v>27</v>
      </c>
    </row>
    <row r="339" spans="1:12" hidden="1" x14ac:dyDescent="0.35">
      <c r="A339">
        <v>1562</v>
      </c>
      <c r="B339" t="s">
        <v>579</v>
      </c>
      <c r="C339" t="s">
        <v>36</v>
      </c>
      <c r="D339">
        <v>44</v>
      </c>
      <c r="E339" s="2">
        <v>42566</v>
      </c>
      <c r="F339">
        <v>29703</v>
      </c>
      <c r="G339">
        <f>F339*0.12</f>
        <v>3564.3599999999997</v>
      </c>
      <c r="H339">
        <v>2</v>
      </c>
      <c r="I339" t="str">
        <f>IF(H339&gt;=4,"yes","no")</f>
        <v>no</v>
      </c>
      <c r="J339" t="str">
        <f>IF(AND(D339&gt;30,H339&gt;=4),"yes","no")</f>
        <v>no</v>
      </c>
      <c r="K339" t="s">
        <v>14</v>
      </c>
      <c r="L339">
        <v>0</v>
      </c>
    </row>
    <row r="340" spans="1:12" hidden="1" x14ac:dyDescent="0.35">
      <c r="A340">
        <v>1248</v>
      </c>
      <c r="B340" t="s">
        <v>265</v>
      </c>
      <c r="C340" t="s">
        <v>36</v>
      </c>
      <c r="D340">
        <v>49</v>
      </c>
      <c r="E340" s="2">
        <v>42252</v>
      </c>
      <c r="F340">
        <v>28972</v>
      </c>
      <c r="G340">
        <f>F340*0.12</f>
        <v>3476.64</v>
      </c>
      <c r="H340">
        <v>3</v>
      </c>
      <c r="I340" t="str">
        <f>IF(H340&gt;=4,"yes","no")</f>
        <v>no</v>
      </c>
      <c r="J340" t="str">
        <f>IF(AND(D340&gt;30,H340&gt;=4),"yes","no")</f>
        <v>no</v>
      </c>
      <c r="K340" t="s">
        <v>23</v>
      </c>
      <c r="L340">
        <v>10</v>
      </c>
    </row>
    <row r="341" spans="1:12" hidden="1" x14ac:dyDescent="0.35">
      <c r="A341">
        <v>1151</v>
      </c>
      <c r="B341" t="s">
        <v>168</v>
      </c>
      <c r="C341" t="s">
        <v>36</v>
      </c>
      <c r="D341">
        <v>53</v>
      </c>
      <c r="E341" s="2">
        <v>42155</v>
      </c>
      <c r="F341">
        <v>28430</v>
      </c>
      <c r="G341">
        <f>F341*0.12</f>
        <v>3411.6</v>
      </c>
      <c r="H341">
        <v>4</v>
      </c>
      <c r="I341" t="str">
        <f>IF(H341&gt;=4,"yes","no")</f>
        <v>yes</v>
      </c>
      <c r="J341" t="str">
        <f>IF(AND(D341&gt;30,H341&gt;=4),"yes","no")</f>
        <v>yes</v>
      </c>
      <c r="K341" t="s">
        <v>11</v>
      </c>
      <c r="L341">
        <v>15</v>
      </c>
    </row>
    <row r="342" spans="1:12" hidden="1" x14ac:dyDescent="0.35">
      <c r="A342">
        <v>1375</v>
      </c>
      <c r="B342" t="s">
        <v>392</v>
      </c>
      <c r="C342" t="s">
        <v>36</v>
      </c>
      <c r="D342">
        <v>33</v>
      </c>
      <c r="E342" s="2">
        <v>42379</v>
      </c>
      <c r="F342">
        <v>28093</v>
      </c>
      <c r="G342">
        <f>F342*0.12</f>
        <v>3371.16</v>
      </c>
      <c r="H342">
        <v>1</v>
      </c>
      <c r="I342" t="str">
        <f>IF(H342&gt;=4,"yes","no")</f>
        <v>no</v>
      </c>
      <c r="J342" t="str">
        <f>IF(AND(D342&gt;30,H342&gt;=4),"yes","no")</f>
        <v>no</v>
      </c>
      <c r="K342" t="s">
        <v>11</v>
      </c>
      <c r="L342">
        <v>29</v>
      </c>
    </row>
    <row r="343" spans="1:12" hidden="1" x14ac:dyDescent="0.35">
      <c r="A343">
        <v>1156</v>
      </c>
      <c r="B343" t="s">
        <v>173</v>
      </c>
      <c r="C343" t="s">
        <v>36</v>
      </c>
      <c r="D343">
        <v>40</v>
      </c>
      <c r="E343" s="2">
        <v>42160</v>
      </c>
      <c r="F343">
        <v>27050</v>
      </c>
      <c r="G343">
        <f>F343*0.12</f>
        <v>3246</v>
      </c>
      <c r="H343">
        <v>2</v>
      </c>
      <c r="I343" t="str">
        <f>IF(H343&gt;=4,"yes","no")</f>
        <v>no</v>
      </c>
      <c r="J343" t="str">
        <f>IF(AND(D343&gt;30,H343&gt;=4),"yes","no")</f>
        <v>no</v>
      </c>
      <c r="K343" t="s">
        <v>11</v>
      </c>
      <c r="L343">
        <v>0</v>
      </c>
    </row>
    <row r="344" spans="1:12" hidden="1" x14ac:dyDescent="0.35">
      <c r="A344">
        <v>1496</v>
      </c>
      <c r="B344" t="s">
        <v>513</v>
      </c>
      <c r="C344" t="s">
        <v>36</v>
      </c>
      <c r="D344">
        <v>29</v>
      </c>
      <c r="E344" s="2">
        <v>42500</v>
      </c>
      <c r="F344">
        <v>26925</v>
      </c>
      <c r="G344">
        <f>F344*0.12</f>
        <v>3231</v>
      </c>
      <c r="H344">
        <v>2</v>
      </c>
      <c r="I344" t="str">
        <f>IF(H344&gt;=4,"yes","no")</f>
        <v>no</v>
      </c>
      <c r="J344" t="str">
        <f>IF(AND(D344&gt;30,H344&gt;=4),"yes","no")</f>
        <v>no</v>
      </c>
      <c r="K344" t="s">
        <v>17</v>
      </c>
      <c r="L344">
        <v>3</v>
      </c>
    </row>
    <row r="345" spans="1:12" hidden="1" x14ac:dyDescent="0.35">
      <c r="A345">
        <v>1314</v>
      </c>
      <c r="B345" t="s">
        <v>331</v>
      </c>
      <c r="C345" t="s">
        <v>36</v>
      </c>
      <c r="D345">
        <v>35</v>
      </c>
      <c r="E345" s="2">
        <v>42318</v>
      </c>
      <c r="F345">
        <v>26007</v>
      </c>
      <c r="G345">
        <f>F345*0.12</f>
        <v>3120.8399999999997</v>
      </c>
      <c r="H345">
        <v>2</v>
      </c>
      <c r="I345" t="str">
        <f>IF(H345&gt;=4,"yes","no")</f>
        <v>no</v>
      </c>
      <c r="J345" t="str">
        <f>IF(AND(D345&gt;30,H345&gt;=4),"yes","no")</f>
        <v>no</v>
      </c>
      <c r="K345" t="s">
        <v>23</v>
      </c>
      <c r="L345">
        <v>14</v>
      </c>
    </row>
    <row r="346" spans="1:12" hidden="1" x14ac:dyDescent="0.35">
      <c r="A346">
        <v>1056</v>
      </c>
      <c r="B346" t="s">
        <v>73</v>
      </c>
      <c r="C346" t="s">
        <v>36</v>
      </c>
      <c r="D346">
        <v>32</v>
      </c>
      <c r="E346" s="2">
        <v>42060</v>
      </c>
      <c r="F346">
        <v>25338</v>
      </c>
      <c r="G346">
        <f>F346*0.12</f>
        <v>3040.56</v>
      </c>
      <c r="H346">
        <v>3</v>
      </c>
      <c r="I346" t="str">
        <f>IF(H346&gt;=4,"yes","no")</f>
        <v>no</v>
      </c>
      <c r="J346" t="str">
        <f>IF(AND(D346&gt;30,H346&gt;=4),"yes","no")</f>
        <v>no</v>
      </c>
      <c r="K346" t="s">
        <v>11</v>
      </c>
      <c r="L346">
        <v>20</v>
      </c>
    </row>
    <row r="347" spans="1:12" x14ac:dyDescent="0.35">
      <c r="A347">
        <v>1079</v>
      </c>
      <c r="B347" t="s">
        <v>96</v>
      </c>
      <c r="C347" t="s">
        <v>10</v>
      </c>
      <c r="D347">
        <v>31</v>
      </c>
      <c r="E347" s="2">
        <v>42083</v>
      </c>
      <c r="F347">
        <v>119457</v>
      </c>
      <c r="G347">
        <f>F347*0.12</f>
        <v>14334.84</v>
      </c>
      <c r="H347">
        <v>4</v>
      </c>
      <c r="I347" t="str">
        <f>IF(H347&gt;=4,"yes","no")</f>
        <v>yes</v>
      </c>
      <c r="J347" t="str">
        <f>IF(AND(D347&gt;30,H347&gt;=4),"yes","no")</f>
        <v>yes</v>
      </c>
      <c r="K347" t="s">
        <v>23</v>
      </c>
      <c r="L347">
        <v>16</v>
      </c>
    </row>
    <row r="348" spans="1:12" x14ac:dyDescent="0.35">
      <c r="A348">
        <v>1122</v>
      </c>
      <c r="B348" t="s">
        <v>139</v>
      </c>
      <c r="C348" t="s">
        <v>10</v>
      </c>
      <c r="D348">
        <v>45</v>
      </c>
      <c r="E348" s="2">
        <v>42126</v>
      </c>
      <c r="F348">
        <v>119223</v>
      </c>
      <c r="G348">
        <f>F348*0.12</f>
        <v>14306.76</v>
      </c>
      <c r="H348">
        <v>1</v>
      </c>
      <c r="I348" t="str">
        <f>IF(H348&gt;=4,"yes","no")</f>
        <v>no</v>
      </c>
      <c r="J348" t="str">
        <f>IF(AND(D348&gt;30,H348&gt;=4),"yes","no")</f>
        <v>no</v>
      </c>
      <c r="K348" t="s">
        <v>23</v>
      </c>
      <c r="L348">
        <v>23</v>
      </c>
    </row>
    <row r="349" spans="1:12" x14ac:dyDescent="0.35">
      <c r="A349">
        <v>1050</v>
      </c>
      <c r="B349" t="s">
        <v>67</v>
      </c>
      <c r="C349" t="s">
        <v>10</v>
      </c>
      <c r="D349">
        <v>51</v>
      </c>
      <c r="E349" s="2">
        <v>42054</v>
      </c>
      <c r="F349">
        <v>119006</v>
      </c>
      <c r="G349">
        <f>F349*0.12</f>
        <v>14280.72</v>
      </c>
      <c r="H349">
        <v>1</v>
      </c>
      <c r="I349" t="str">
        <f>IF(H349&gt;=4,"yes","no")</f>
        <v>no</v>
      </c>
      <c r="J349" t="str">
        <f>IF(AND(D349&gt;30,H349&gt;=4),"yes","no")</f>
        <v>no</v>
      </c>
      <c r="K349" t="s">
        <v>17</v>
      </c>
      <c r="L349">
        <v>6</v>
      </c>
    </row>
    <row r="350" spans="1:12" x14ac:dyDescent="0.35">
      <c r="A350">
        <v>1295</v>
      </c>
      <c r="B350" t="s">
        <v>312</v>
      </c>
      <c r="C350" t="s">
        <v>10</v>
      </c>
      <c r="D350">
        <v>45</v>
      </c>
      <c r="E350" s="2">
        <v>42299</v>
      </c>
      <c r="F350">
        <v>117241</v>
      </c>
      <c r="G350">
        <f>F350*0.12</f>
        <v>14068.92</v>
      </c>
      <c r="H350">
        <v>1</v>
      </c>
      <c r="I350" t="str">
        <f>IF(H350&gt;=4,"yes","no")</f>
        <v>no</v>
      </c>
      <c r="J350" t="str">
        <f>IF(AND(D350&gt;30,H350&gt;=4),"yes","no")</f>
        <v>no</v>
      </c>
      <c r="K350" t="s">
        <v>17</v>
      </c>
      <c r="L350">
        <v>5</v>
      </c>
    </row>
    <row r="351" spans="1:12" x14ac:dyDescent="0.35">
      <c r="A351">
        <v>1299</v>
      </c>
      <c r="B351" t="s">
        <v>316</v>
      </c>
      <c r="C351" t="s">
        <v>10</v>
      </c>
      <c r="D351">
        <v>52</v>
      </c>
      <c r="E351" s="2">
        <v>42303</v>
      </c>
      <c r="F351">
        <v>117124</v>
      </c>
      <c r="G351">
        <f>F351*0.12</f>
        <v>14054.88</v>
      </c>
      <c r="H351">
        <v>4</v>
      </c>
      <c r="I351" t="str">
        <f>IF(H351&gt;=4,"yes","no")</f>
        <v>yes</v>
      </c>
      <c r="J351" t="str">
        <f>IF(AND(D351&gt;30,H351&gt;=4),"yes","no")</f>
        <v>yes</v>
      </c>
      <c r="K351" t="s">
        <v>23</v>
      </c>
      <c r="L351">
        <v>25</v>
      </c>
    </row>
    <row r="352" spans="1:12" x14ac:dyDescent="0.35">
      <c r="A352">
        <v>1043</v>
      </c>
      <c r="B352" t="s">
        <v>60</v>
      </c>
      <c r="C352" t="s">
        <v>10</v>
      </c>
      <c r="D352">
        <v>56</v>
      </c>
      <c r="E352" s="2">
        <v>42047</v>
      </c>
      <c r="F352">
        <v>116748</v>
      </c>
      <c r="G352">
        <f>F352*0.12</f>
        <v>14009.76</v>
      </c>
      <c r="H352">
        <v>4</v>
      </c>
      <c r="I352" t="str">
        <f>IF(H352&gt;=4,"yes","no")</f>
        <v>yes</v>
      </c>
      <c r="J352" t="str">
        <f>IF(AND(D352&gt;30,H352&gt;=4),"yes","no")</f>
        <v>yes</v>
      </c>
      <c r="K352" t="s">
        <v>23</v>
      </c>
      <c r="L352">
        <v>9</v>
      </c>
    </row>
    <row r="353" spans="1:12" x14ac:dyDescent="0.35">
      <c r="A353">
        <v>1501</v>
      </c>
      <c r="B353" t="s">
        <v>518</v>
      </c>
      <c r="C353" t="s">
        <v>10</v>
      </c>
      <c r="D353">
        <v>29</v>
      </c>
      <c r="E353" s="2">
        <v>42505</v>
      </c>
      <c r="F353">
        <v>115827</v>
      </c>
      <c r="G353">
        <f>F353*0.12</f>
        <v>13899.24</v>
      </c>
      <c r="H353">
        <v>2</v>
      </c>
      <c r="I353" t="str">
        <f>IF(H353&gt;=4,"yes","no")</f>
        <v>no</v>
      </c>
      <c r="J353" t="str">
        <f>IF(AND(D353&gt;30,H353&gt;=4),"yes","no")</f>
        <v>no</v>
      </c>
      <c r="K353" t="s">
        <v>19</v>
      </c>
      <c r="L353">
        <v>17</v>
      </c>
    </row>
    <row r="354" spans="1:12" x14ac:dyDescent="0.35">
      <c r="A354">
        <v>1070</v>
      </c>
      <c r="B354" t="s">
        <v>87</v>
      </c>
      <c r="C354" t="s">
        <v>10</v>
      </c>
      <c r="D354">
        <v>38</v>
      </c>
      <c r="E354" s="2">
        <v>42074</v>
      </c>
      <c r="F354">
        <v>115600</v>
      </c>
      <c r="G354">
        <f>F354*0.12</f>
        <v>13872</v>
      </c>
      <c r="H354">
        <v>3</v>
      </c>
      <c r="I354" t="str">
        <f>IF(H354&gt;=4,"yes","no")</f>
        <v>no</v>
      </c>
      <c r="J354" t="str">
        <f>IF(AND(D354&gt;30,H354&gt;=4),"yes","no")</f>
        <v>no</v>
      </c>
      <c r="K354" t="s">
        <v>19</v>
      </c>
      <c r="L354">
        <v>10</v>
      </c>
    </row>
    <row r="355" spans="1:12" x14ac:dyDescent="0.35">
      <c r="A355">
        <v>1170</v>
      </c>
      <c r="B355" t="s">
        <v>187</v>
      </c>
      <c r="C355" t="s">
        <v>10</v>
      </c>
      <c r="D355">
        <v>47</v>
      </c>
      <c r="E355" s="2">
        <v>42174</v>
      </c>
      <c r="F355">
        <v>114431</v>
      </c>
      <c r="G355">
        <f>F355*0.12</f>
        <v>13731.72</v>
      </c>
      <c r="H355">
        <v>5</v>
      </c>
      <c r="I355" t="str">
        <f>IF(H355&gt;=4,"yes","no")</f>
        <v>yes</v>
      </c>
      <c r="J355" t="str">
        <f>IF(AND(D355&gt;30,H355&gt;=4),"yes","no")</f>
        <v>yes</v>
      </c>
      <c r="K355" t="s">
        <v>14</v>
      </c>
      <c r="L355">
        <v>25</v>
      </c>
    </row>
    <row r="356" spans="1:12" x14ac:dyDescent="0.35">
      <c r="A356">
        <v>1363</v>
      </c>
      <c r="B356" t="s">
        <v>380</v>
      </c>
      <c r="C356" t="s">
        <v>10</v>
      </c>
      <c r="D356">
        <v>54</v>
      </c>
      <c r="E356" s="2">
        <v>42367</v>
      </c>
      <c r="F356">
        <v>114186</v>
      </c>
      <c r="G356">
        <f>F356*0.12</f>
        <v>13702.32</v>
      </c>
      <c r="H356">
        <v>3</v>
      </c>
      <c r="I356" t="str">
        <f>IF(H356&gt;=4,"yes","no")</f>
        <v>no</v>
      </c>
      <c r="J356" t="str">
        <f>IF(AND(D356&gt;30,H356&gt;=4),"yes","no")</f>
        <v>no</v>
      </c>
      <c r="K356" t="s">
        <v>19</v>
      </c>
      <c r="L356">
        <v>9</v>
      </c>
    </row>
    <row r="357" spans="1:12" x14ac:dyDescent="0.35">
      <c r="A357">
        <v>1233</v>
      </c>
      <c r="B357" t="s">
        <v>250</v>
      </c>
      <c r="C357" t="s">
        <v>10</v>
      </c>
      <c r="D357">
        <v>51</v>
      </c>
      <c r="E357" s="2">
        <v>42237</v>
      </c>
      <c r="F357">
        <v>113801</v>
      </c>
      <c r="G357">
        <f>F357*0.12</f>
        <v>13656.119999999999</v>
      </c>
      <c r="H357">
        <v>1</v>
      </c>
      <c r="I357" t="str">
        <f>IF(H357&gt;=4,"yes","no")</f>
        <v>no</v>
      </c>
      <c r="J357" t="str">
        <f>IF(AND(D357&gt;30,H357&gt;=4),"yes","no")</f>
        <v>no</v>
      </c>
      <c r="K357" t="s">
        <v>19</v>
      </c>
      <c r="L357">
        <v>11</v>
      </c>
    </row>
    <row r="358" spans="1:12" x14ac:dyDescent="0.35">
      <c r="A358">
        <v>1101</v>
      </c>
      <c r="B358" t="s">
        <v>118</v>
      </c>
      <c r="C358" t="s">
        <v>10</v>
      </c>
      <c r="D358">
        <v>51</v>
      </c>
      <c r="E358" s="2">
        <v>42105</v>
      </c>
      <c r="F358">
        <v>112312</v>
      </c>
      <c r="G358">
        <f>F358*0.12</f>
        <v>13477.439999999999</v>
      </c>
      <c r="H358">
        <v>3</v>
      </c>
      <c r="I358" t="str">
        <f>IF(H358&gt;=4,"yes","no")</f>
        <v>no</v>
      </c>
      <c r="J358" t="str">
        <f>IF(AND(D358&gt;30,H358&gt;=4),"yes","no")</f>
        <v>no</v>
      </c>
      <c r="K358" t="s">
        <v>23</v>
      </c>
      <c r="L358">
        <v>1</v>
      </c>
    </row>
    <row r="359" spans="1:12" x14ac:dyDescent="0.35">
      <c r="A359">
        <v>1580</v>
      </c>
      <c r="B359" t="s">
        <v>597</v>
      </c>
      <c r="C359" t="s">
        <v>10</v>
      </c>
      <c r="D359">
        <v>52</v>
      </c>
      <c r="E359" s="2">
        <v>42584</v>
      </c>
      <c r="F359">
        <v>111652</v>
      </c>
      <c r="G359">
        <f>F359*0.12</f>
        <v>13398.24</v>
      </c>
      <c r="H359">
        <v>4</v>
      </c>
      <c r="I359" t="str">
        <f>IF(H359&gt;=4,"yes","no")</f>
        <v>yes</v>
      </c>
      <c r="J359" t="str">
        <f>IF(AND(D359&gt;30,H359&gt;=4),"yes","no")</f>
        <v>yes</v>
      </c>
      <c r="K359" t="s">
        <v>11</v>
      </c>
      <c r="L359">
        <v>16</v>
      </c>
    </row>
    <row r="360" spans="1:12" x14ac:dyDescent="0.35">
      <c r="A360">
        <v>1267</v>
      </c>
      <c r="B360" t="s">
        <v>284</v>
      </c>
      <c r="C360" t="s">
        <v>10</v>
      </c>
      <c r="D360">
        <v>41</v>
      </c>
      <c r="E360" s="2">
        <v>42271</v>
      </c>
      <c r="F360">
        <v>111231</v>
      </c>
      <c r="G360">
        <f>F360*0.12</f>
        <v>13347.72</v>
      </c>
      <c r="H360">
        <v>5</v>
      </c>
      <c r="I360" t="str">
        <f>IF(H360&gt;=4,"yes","no")</f>
        <v>yes</v>
      </c>
      <c r="J360" t="str">
        <f>IF(AND(D360&gt;30,H360&gt;=4),"yes","no")</f>
        <v>yes</v>
      </c>
      <c r="K360" t="s">
        <v>14</v>
      </c>
      <c r="L360">
        <v>4</v>
      </c>
    </row>
    <row r="361" spans="1:12" x14ac:dyDescent="0.35">
      <c r="A361">
        <v>1145</v>
      </c>
      <c r="B361" t="s">
        <v>162</v>
      </c>
      <c r="C361" t="s">
        <v>10</v>
      </c>
      <c r="D361">
        <v>37</v>
      </c>
      <c r="E361" s="2">
        <v>42149</v>
      </c>
      <c r="F361">
        <v>110431</v>
      </c>
      <c r="G361">
        <f>F361*0.12</f>
        <v>13251.72</v>
      </c>
      <c r="H361">
        <v>5</v>
      </c>
      <c r="I361" t="str">
        <f>IF(H361&gt;=4,"yes","no")</f>
        <v>yes</v>
      </c>
      <c r="J361" t="str">
        <f>IF(AND(D361&gt;30,H361&gt;=4),"yes","no")</f>
        <v>yes</v>
      </c>
      <c r="K361" t="s">
        <v>23</v>
      </c>
      <c r="L361">
        <v>16</v>
      </c>
    </row>
    <row r="362" spans="1:12" x14ac:dyDescent="0.35">
      <c r="A362">
        <v>1212</v>
      </c>
      <c r="B362" t="s">
        <v>229</v>
      </c>
      <c r="C362" t="s">
        <v>10</v>
      </c>
      <c r="D362">
        <v>25</v>
      </c>
      <c r="E362" s="2">
        <v>42216</v>
      </c>
      <c r="F362">
        <v>109386</v>
      </c>
      <c r="G362">
        <f>F362*0.12</f>
        <v>13126.32</v>
      </c>
      <c r="H362">
        <v>5</v>
      </c>
      <c r="I362" t="str">
        <f>IF(H362&gt;=4,"yes","no")</f>
        <v>yes</v>
      </c>
      <c r="J362" t="str">
        <f>IF(AND(D362&gt;30,H362&gt;=4),"yes","no")</f>
        <v>no</v>
      </c>
      <c r="K362" t="s">
        <v>17</v>
      </c>
      <c r="L362">
        <v>4</v>
      </c>
    </row>
    <row r="363" spans="1:12" x14ac:dyDescent="0.35">
      <c r="A363">
        <v>1477</v>
      </c>
      <c r="B363" t="s">
        <v>494</v>
      </c>
      <c r="C363" t="s">
        <v>10</v>
      </c>
      <c r="D363">
        <v>29</v>
      </c>
      <c r="E363" s="2">
        <v>42481</v>
      </c>
      <c r="F363">
        <v>108869</v>
      </c>
      <c r="G363">
        <f>F363*0.12</f>
        <v>13064.279999999999</v>
      </c>
      <c r="H363">
        <v>5</v>
      </c>
      <c r="I363" t="str">
        <f>IF(H363&gt;=4,"yes","no")</f>
        <v>yes</v>
      </c>
      <c r="J363" t="str">
        <f>IF(AND(D363&gt;30,H363&gt;=4),"yes","no")</f>
        <v>no</v>
      </c>
      <c r="K363" t="s">
        <v>14</v>
      </c>
      <c r="L363">
        <v>29</v>
      </c>
    </row>
    <row r="364" spans="1:12" x14ac:dyDescent="0.35">
      <c r="A364">
        <v>1146</v>
      </c>
      <c r="B364" t="s">
        <v>163</v>
      </c>
      <c r="C364" t="s">
        <v>10</v>
      </c>
      <c r="D364">
        <v>29</v>
      </c>
      <c r="E364" s="2">
        <v>42150</v>
      </c>
      <c r="F364">
        <v>108691</v>
      </c>
      <c r="G364">
        <f>F364*0.12</f>
        <v>13042.92</v>
      </c>
      <c r="H364">
        <v>1</v>
      </c>
      <c r="I364" t="str">
        <f>IF(H364&gt;=4,"yes","no")</f>
        <v>no</v>
      </c>
      <c r="J364" t="str">
        <f>IF(AND(D364&gt;30,H364&gt;=4),"yes","no")</f>
        <v>no</v>
      </c>
      <c r="K364" t="s">
        <v>23</v>
      </c>
      <c r="L364">
        <v>16</v>
      </c>
    </row>
    <row r="365" spans="1:12" x14ac:dyDescent="0.35">
      <c r="A365">
        <v>1029</v>
      </c>
      <c r="B365" t="s">
        <v>46</v>
      </c>
      <c r="C365" t="s">
        <v>10</v>
      </c>
      <c r="D365">
        <v>29</v>
      </c>
      <c r="E365" s="2">
        <v>42033</v>
      </c>
      <c r="F365">
        <v>108559</v>
      </c>
      <c r="G365">
        <f>F365*0.12</f>
        <v>13027.08</v>
      </c>
      <c r="H365">
        <v>4</v>
      </c>
      <c r="I365" t="str">
        <f>IF(H365&gt;=4,"yes","no")</f>
        <v>yes</v>
      </c>
      <c r="J365" t="str">
        <f>IF(AND(D365&gt;30,H365&gt;=4),"yes","no")</f>
        <v>no</v>
      </c>
      <c r="K365" t="s">
        <v>17</v>
      </c>
      <c r="L365">
        <v>11</v>
      </c>
    </row>
    <row r="366" spans="1:12" x14ac:dyDescent="0.35">
      <c r="A366">
        <v>1089</v>
      </c>
      <c r="B366" t="s">
        <v>106</v>
      </c>
      <c r="C366" t="s">
        <v>10</v>
      </c>
      <c r="D366">
        <v>22</v>
      </c>
      <c r="E366" s="2">
        <v>42093</v>
      </c>
      <c r="F366">
        <v>108441</v>
      </c>
      <c r="G366">
        <f>F366*0.12</f>
        <v>13012.92</v>
      </c>
      <c r="H366">
        <v>5</v>
      </c>
      <c r="I366" t="str">
        <f>IF(H366&gt;=4,"yes","no")</f>
        <v>yes</v>
      </c>
      <c r="J366" t="str">
        <f>IF(AND(D366&gt;30,H366&gt;=4),"yes","no")</f>
        <v>no</v>
      </c>
      <c r="K366" t="s">
        <v>11</v>
      </c>
      <c r="L366">
        <v>17</v>
      </c>
    </row>
    <row r="367" spans="1:12" x14ac:dyDescent="0.35">
      <c r="A367">
        <v>1195</v>
      </c>
      <c r="B367" t="s">
        <v>212</v>
      </c>
      <c r="C367" t="s">
        <v>10</v>
      </c>
      <c r="D367">
        <v>44</v>
      </c>
      <c r="E367" s="2">
        <v>42199</v>
      </c>
      <c r="F367">
        <v>107856</v>
      </c>
      <c r="G367">
        <f>F367*0.12</f>
        <v>12942.72</v>
      </c>
      <c r="H367">
        <v>4</v>
      </c>
      <c r="I367" t="str">
        <f>IF(H367&gt;=4,"yes","no")</f>
        <v>yes</v>
      </c>
      <c r="J367" t="str">
        <f>IF(AND(D367&gt;30,H367&gt;=4),"yes","no")</f>
        <v>yes</v>
      </c>
      <c r="K367" t="s">
        <v>11</v>
      </c>
      <c r="L367">
        <v>5</v>
      </c>
    </row>
    <row r="368" spans="1:12" x14ac:dyDescent="0.35">
      <c r="A368">
        <v>1399</v>
      </c>
      <c r="B368" t="s">
        <v>416</v>
      </c>
      <c r="C368" t="s">
        <v>10</v>
      </c>
      <c r="D368">
        <v>57</v>
      </c>
      <c r="E368" s="2">
        <v>42403</v>
      </c>
      <c r="F368">
        <v>107711</v>
      </c>
      <c r="G368">
        <f>F368*0.12</f>
        <v>12925.32</v>
      </c>
      <c r="H368">
        <v>4</v>
      </c>
      <c r="I368" t="str">
        <f>IF(H368&gt;=4,"yes","no")</f>
        <v>yes</v>
      </c>
      <c r="J368" t="str">
        <f>IF(AND(D368&gt;30,H368&gt;=4),"yes","no")</f>
        <v>yes</v>
      </c>
      <c r="K368" t="s">
        <v>17</v>
      </c>
      <c r="L368">
        <v>27</v>
      </c>
    </row>
    <row r="369" spans="1:12" x14ac:dyDescent="0.35">
      <c r="A369">
        <v>1080</v>
      </c>
      <c r="B369" t="s">
        <v>97</v>
      </c>
      <c r="C369" t="s">
        <v>10</v>
      </c>
      <c r="D369">
        <v>31</v>
      </c>
      <c r="E369" s="2">
        <v>42084</v>
      </c>
      <c r="F369">
        <v>107310</v>
      </c>
      <c r="G369">
        <f>F369*0.12</f>
        <v>12877.199999999999</v>
      </c>
      <c r="H369">
        <v>5</v>
      </c>
      <c r="I369" t="str">
        <f>IF(H369&gt;=4,"yes","no")</f>
        <v>yes</v>
      </c>
      <c r="J369" t="str">
        <f>IF(AND(D369&gt;30,H369&gt;=4),"yes","no")</f>
        <v>yes</v>
      </c>
      <c r="K369" t="s">
        <v>14</v>
      </c>
      <c r="L369">
        <v>24</v>
      </c>
    </row>
    <row r="370" spans="1:12" x14ac:dyDescent="0.35">
      <c r="A370">
        <v>1108</v>
      </c>
      <c r="B370" t="s">
        <v>125</v>
      </c>
      <c r="C370" t="s">
        <v>10</v>
      </c>
      <c r="D370">
        <v>35</v>
      </c>
      <c r="E370" s="2">
        <v>42112</v>
      </c>
      <c r="F370">
        <v>107050</v>
      </c>
      <c r="G370">
        <f>F370*0.12</f>
        <v>12846</v>
      </c>
      <c r="H370">
        <v>5</v>
      </c>
      <c r="I370" t="str">
        <f>IF(H370&gt;=4,"yes","no")</f>
        <v>yes</v>
      </c>
      <c r="J370" t="str">
        <f>IF(AND(D370&gt;30,H370&gt;=4),"yes","no")</f>
        <v>yes</v>
      </c>
      <c r="K370" t="s">
        <v>14</v>
      </c>
      <c r="L370">
        <v>22</v>
      </c>
    </row>
    <row r="371" spans="1:12" x14ac:dyDescent="0.35">
      <c r="A371">
        <v>1365</v>
      </c>
      <c r="B371" t="s">
        <v>382</v>
      </c>
      <c r="C371" t="s">
        <v>10</v>
      </c>
      <c r="D371">
        <v>34</v>
      </c>
      <c r="E371" s="2">
        <v>42369</v>
      </c>
      <c r="F371">
        <v>106958</v>
      </c>
      <c r="G371">
        <f>F371*0.12</f>
        <v>12834.96</v>
      </c>
      <c r="H371">
        <v>2</v>
      </c>
      <c r="I371" t="str">
        <f>IF(H371&gt;=4,"yes","no")</f>
        <v>no</v>
      </c>
      <c r="J371" t="str">
        <f>IF(AND(D371&gt;30,H371&gt;=4),"yes","no")</f>
        <v>no</v>
      </c>
      <c r="K371" t="s">
        <v>23</v>
      </c>
      <c r="L371">
        <v>20</v>
      </c>
    </row>
    <row r="372" spans="1:12" x14ac:dyDescent="0.35">
      <c r="A372">
        <v>1384</v>
      </c>
      <c r="B372" t="s">
        <v>401</v>
      </c>
      <c r="C372" t="s">
        <v>10</v>
      </c>
      <c r="D372">
        <v>41</v>
      </c>
      <c r="E372" s="2">
        <v>42388</v>
      </c>
      <c r="F372">
        <v>106871</v>
      </c>
      <c r="G372">
        <f>F372*0.12</f>
        <v>12824.519999999999</v>
      </c>
      <c r="H372">
        <v>5</v>
      </c>
      <c r="I372" t="str">
        <f>IF(H372&gt;=4,"yes","no")</f>
        <v>yes</v>
      </c>
      <c r="J372" t="str">
        <f>IF(AND(D372&gt;30,H372&gt;=4),"yes","no")</f>
        <v>yes</v>
      </c>
      <c r="K372" t="s">
        <v>19</v>
      </c>
      <c r="L372">
        <v>6</v>
      </c>
    </row>
    <row r="373" spans="1:12" x14ac:dyDescent="0.35">
      <c r="A373">
        <v>1482</v>
      </c>
      <c r="B373" t="s">
        <v>499</v>
      </c>
      <c r="C373" t="s">
        <v>10</v>
      </c>
      <c r="D373">
        <v>31</v>
      </c>
      <c r="E373" s="2">
        <v>42486</v>
      </c>
      <c r="F373">
        <v>106061</v>
      </c>
      <c r="G373">
        <f>F373*0.12</f>
        <v>12727.32</v>
      </c>
      <c r="H373">
        <v>5</v>
      </c>
      <c r="I373" t="str">
        <f>IF(H373&gt;=4,"yes","no")</f>
        <v>yes</v>
      </c>
      <c r="J373" t="str">
        <f>IF(AND(D373&gt;30,H373&gt;=4),"yes","no")</f>
        <v>yes</v>
      </c>
      <c r="K373" t="s">
        <v>19</v>
      </c>
      <c r="L373">
        <v>21</v>
      </c>
    </row>
    <row r="374" spans="1:12" x14ac:dyDescent="0.35">
      <c r="A374">
        <v>1569</v>
      </c>
      <c r="B374" t="s">
        <v>586</v>
      </c>
      <c r="C374" t="s">
        <v>10</v>
      </c>
      <c r="D374">
        <v>59</v>
      </c>
      <c r="E374" s="2">
        <v>42573</v>
      </c>
      <c r="F374">
        <v>102539</v>
      </c>
      <c r="G374">
        <f>F374*0.12</f>
        <v>12304.68</v>
      </c>
      <c r="H374">
        <v>3</v>
      </c>
      <c r="I374" t="str">
        <f>IF(H374&gt;=4,"yes","no")</f>
        <v>no</v>
      </c>
      <c r="J374" t="str">
        <f>IF(AND(D374&gt;30,H374&gt;=4),"yes","no")</f>
        <v>no</v>
      </c>
      <c r="K374" t="s">
        <v>17</v>
      </c>
      <c r="L374">
        <v>14</v>
      </c>
    </row>
    <row r="375" spans="1:12" x14ac:dyDescent="0.35">
      <c r="A375">
        <v>1069</v>
      </c>
      <c r="B375" t="s">
        <v>86</v>
      </c>
      <c r="C375" t="s">
        <v>10</v>
      </c>
      <c r="D375">
        <v>49</v>
      </c>
      <c r="E375" s="2">
        <v>42073</v>
      </c>
      <c r="F375">
        <v>102454</v>
      </c>
      <c r="G375">
        <f>F375*0.12</f>
        <v>12294.48</v>
      </c>
      <c r="H375">
        <v>3</v>
      </c>
      <c r="I375" t="str">
        <f>IF(H375&gt;=4,"yes","no")</f>
        <v>no</v>
      </c>
      <c r="J375" t="str">
        <f>IF(AND(D375&gt;30,H375&gt;=4),"yes","no")</f>
        <v>no</v>
      </c>
      <c r="K375" t="s">
        <v>19</v>
      </c>
      <c r="L375">
        <v>2</v>
      </c>
    </row>
    <row r="376" spans="1:12" x14ac:dyDescent="0.35">
      <c r="A376">
        <v>1205</v>
      </c>
      <c r="B376" t="s">
        <v>222</v>
      </c>
      <c r="C376" t="s">
        <v>10</v>
      </c>
      <c r="D376">
        <v>43</v>
      </c>
      <c r="E376" s="2">
        <v>42209</v>
      </c>
      <c r="F376">
        <v>101898</v>
      </c>
      <c r="G376">
        <f>F376*0.12</f>
        <v>12227.76</v>
      </c>
      <c r="H376">
        <v>5</v>
      </c>
      <c r="I376" t="str">
        <f>IF(H376&gt;=4,"yes","no")</f>
        <v>yes</v>
      </c>
      <c r="J376" t="str">
        <f>IF(AND(D376&gt;30,H376&gt;=4),"yes","no")</f>
        <v>yes</v>
      </c>
      <c r="K376" t="s">
        <v>19</v>
      </c>
      <c r="L376">
        <v>29</v>
      </c>
    </row>
    <row r="377" spans="1:12" x14ac:dyDescent="0.35">
      <c r="A377">
        <v>1103</v>
      </c>
      <c r="B377" t="s">
        <v>120</v>
      </c>
      <c r="C377" t="s">
        <v>10</v>
      </c>
      <c r="D377">
        <v>38</v>
      </c>
      <c r="E377" s="2">
        <v>42107</v>
      </c>
      <c r="F377">
        <v>99910</v>
      </c>
      <c r="G377">
        <f>F377*0.12</f>
        <v>11989.199999999999</v>
      </c>
      <c r="H377">
        <v>4</v>
      </c>
      <c r="I377" t="str">
        <f>IF(H377&gt;=4,"yes","no")</f>
        <v>yes</v>
      </c>
      <c r="J377" t="str">
        <f>IF(AND(D377&gt;30,H377&gt;=4),"yes","no")</f>
        <v>yes</v>
      </c>
      <c r="K377" t="s">
        <v>14</v>
      </c>
      <c r="L377">
        <v>2</v>
      </c>
    </row>
    <row r="378" spans="1:12" x14ac:dyDescent="0.35">
      <c r="A378">
        <v>1284</v>
      </c>
      <c r="B378" t="s">
        <v>301</v>
      </c>
      <c r="C378" t="s">
        <v>10</v>
      </c>
      <c r="D378">
        <v>23</v>
      </c>
      <c r="E378" s="2">
        <v>42288</v>
      </c>
      <c r="F378">
        <v>99553</v>
      </c>
      <c r="G378">
        <f>F378*0.12</f>
        <v>11946.359999999999</v>
      </c>
      <c r="H378">
        <v>2</v>
      </c>
      <c r="I378" t="str">
        <f>IF(H378&gt;=4,"yes","no")</f>
        <v>no</v>
      </c>
      <c r="J378" t="str">
        <f>IF(AND(D378&gt;30,H378&gt;=4),"yes","no")</f>
        <v>no</v>
      </c>
      <c r="K378" t="s">
        <v>23</v>
      </c>
      <c r="L378">
        <v>10</v>
      </c>
    </row>
    <row r="379" spans="1:12" x14ac:dyDescent="0.35">
      <c r="A379">
        <v>1514</v>
      </c>
      <c r="B379" t="s">
        <v>531</v>
      </c>
      <c r="C379" t="s">
        <v>10</v>
      </c>
      <c r="D379">
        <v>39</v>
      </c>
      <c r="E379" s="2">
        <v>42518</v>
      </c>
      <c r="F379">
        <v>99137</v>
      </c>
      <c r="G379">
        <f>F379*0.12</f>
        <v>11896.439999999999</v>
      </c>
      <c r="H379">
        <v>1</v>
      </c>
      <c r="I379" t="str">
        <f>IF(H379&gt;=4,"yes","no")</f>
        <v>no</v>
      </c>
      <c r="J379" t="str">
        <f>IF(AND(D379&gt;30,H379&gt;=4),"yes","no")</f>
        <v>no</v>
      </c>
      <c r="K379" t="s">
        <v>23</v>
      </c>
      <c r="L379">
        <v>24</v>
      </c>
    </row>
    <row r="380" spans="1:12" x14ac:dyDescent="0.35">
      <c r="A380">
        <v>1126</v>
      </c>
      <c r="B380" t="s">
        <v>143</v>
      </c>
      <c r="C380" t="s">
        <v>10</v>
      </c>
      <c r="D380">
        <v>26</v>
      </c>
      <c r="E380" s="2">
        <v>42130</v>
      </c>
      <c r="F380">
        <v>99038</v>
      </c>
      <c r="G380">
        <f>F380*0.12</f>
        <v>11884.56</v>
      </c>
      <c r="H380">
        <v>5</v>
      </c>
      <c r="I380" t="str">
        <f>IF(H380&gt;=4,"yes","no")</f>
        <v>yes</v>
      </c>
      <c r="J380" t="str">
        <f>IF(AND(D380&gt;30,H380&gt;=4),"yes","no")</f>
        <v>no</v>
      </c>
      <c r="K380" t="s">
        <v>14</v>
      </c>
      <c r="L380">
        <v>3</v>
      </c>
    </row>
    <row r="381" spans="1:12" x14ac:dyDescent="0.35">
      <c r="A381">
        <v>1521</v>
      </c>
      <c r="B381" t="s">
        <v>538</v>
      </c>
      <c r="C381" t="s">
        <v>10</v>
      </c>
      <c r="D381">
        <v>40</v>
      </c>
      <c r="E381" s="2">
        <v>42525</v>
      </c>
      <c r="F381">
        <v>97715</v>
      </c>
      <c r="G381">
        <f>F381*0.12</f>
        <v>11725.8</v>
      </c>
      <c r="H381">
        <v>2</v>
      </c>
      <c r="I381" t="str">
        <f>IF(H381&gt;=4,"yes","no")</f>
        <v>no</v>
      </c>
      <c r="J381" t="str">
        <f>IF(AND(D381&gt;30,H381&gt;=4),"yes","no")</f>
        <v>no</v>
      </c>
      <c r="K381" t="s">
        <v>11</v>
      </c>
      <c r="L381">
        <v>5</v>
      </c>
    </row>
    <row r="382" spans="1:12" x14ac:dyDescent="0.35">
      <c r="A382">
        <v>1564</v>
      </c>
      <c r="B382" t="s">
        <v>581</v>
      </c>
      <c r="C382" t="s">
        <v>10</v>
      </c>
      <c r="D382">
        <v>32</v>
      </c>
      <c r="E382" s="2">
        <v>42568</v>
      </c>
      <c r="F382">
        <v>97099</v>
      </c>
      <c r="G382">
        <f>F382*0.12</f>
        <v>11651.88</v>
      </c>
      <c r="H382">
        <v>1</v>
      </c>
      <c r="I382" t="str">
        <f>IF(H382&gt;=4,"yes","no")</f>
        <v>no</v>
      </c>
      <c r="J382" t="str">
        <f>IF(AND(D382&gt;30,H382&gt;=4),"yes","no")</f>
        <v>no</v>
      </c>
      <c r="K382" t="s">
        <v>23</v>
      </c>
      <c r="L382">
        <v>26</v>
      </c>
    </row>
    <row r="383" spans="1:12" x14ac:dyDescent="0.35">
      <c r="A383">
        <v>1265</v>
      </c>
      <c r="B383" t="s">
        <v>282</v>
      </c>
      <c r="C383" t="s">
        <v>10</v>
      </c>
      <c r="D383">
        <v>41</v>
      </c>
      <c r="E383" s="2">
        <v>42269</v>
      </c>
      <c r="F383">
        <v>96719</v>
      </c>
      <c r="G383">
        <f>F383*0.12</f>
        <v>11606.279999999999</v>
      </c>
      <c r="H383">
        <v>2</v>
      </c>
      <c r="I383" t="str">
        <f>IF(H383&gt;=4,"yes","no")</f>
        <v>no</v>
      </c>
      <c r="J383" t="str">
        <f>IF(AND(D383&gt;30,H383&gt;=4),"yes","no")</f>
        <v>no</v>
      </c>
      <c r="K383" t="s">
        <v>11</v>
      </c>
      <c r="L383">
        <v>7</v>
      </c>
    </row>
    <row r="384" spans="1:12" x14ac:dyDescent="0.35">
      <c r="A384">
        <v>1493</v>
      </c>
      <c r="B384" t="s">
        <v>510</v>
      </c>
      <c r="C384" t="s">
        <v>10</v>
      </c>
      <c r="D384">
        <v>24</v>
      </c>
      <c r="E384" s="2">
        <v>42497</v>
      </c>
      <c r="F384">
        <v>96626</v>
      </c>
      <c r="G384">
        <f>F384*0.12</f>
        <v>11595.119999999999</v>
      </c>
      <c r="H384">
        <v>5</v>
      </c>
      <c r="I384" t="str">
        <f>IF(H384&gt;=4,"yes","no")</f>
        <v>yes</v>
      </c>
      <c r="J384" t="str">
        <f>IF(AND(D384&gt;30,H384&gt;=4),"yes","no")</f>
        <v>no</v>
      </c>
      <c r="K384" t="s">
        <v>11</v>
      </c>
      <c r="L384">
        <v>14</v>
      </c>
    </row>
    <row r="385" spans="1:12" x14ac:dyDescent="0.35">
      <c r="A385">
        <v>1057</v>
      </c>
      <c r="B385" t="s">
        <v>74</v>
      </c>
      <c r="C385" t="s">
        <v>10</v>
      </c>
      <c r="D385">
        <v>42</v>
      </c>
      <c r="E385" s="2">
        <v>42061</v>
      </c>
      <c r="F385">
        <v>96431</v>
      </c>
      <c r="G385">
        <f>F385*0.12</f>
        <v>11571.72</v>
      </c>
      <c r="H385">
        <v>5</v>
      </c>
      <c r="I385" t="str">
        <f>IF(H385&gt;=4,"yes","no")</f>
        <v>yes</v>
      </c>
      <c r="J385" t="str">
        <f>IF(AND(D385&gt;30,H385&gt;=4),"yes","no")</f>
        <v>yes</v>
      </c>
      <c r="K385" t="s">
        <v>17</v>
      </c>
      <c r="L385">
        <v>1</v>
      </c>
    </row>
    <row r="386" spans="1:12" x14ac:dyDescent="0.35">
      <c r="A386">
        <v>1249</v>
      </c>
      <c r="B386" t="s">
        <v>266</v>
      </c>
      <c r="C386" t="s">
        <v>10</v>
      </c>
      <c r="D386">
        <v>32</v>
      </c>
      <c r="E386" s="2">
        <v>42253</v>
      </c>
      <c r="F386">
        <v>95831</v>
      </c>
      <c r="G386">
        <f>F386*0.12</f>
        <v>11499.72</v>
      </c>
      <c r="H386">
        <v>4</v>
      </c>
      <c r="I386" t="str">
        <f>IF(H386&gt;=4,"yes","no")</f>
        <v>yes</v>
      </c>
      <c r="J386" t="str">
        <f>IF(AND(D386&gt;30,H386&gt;=4),"yes","no")</f>
        <v>yes</v>
      </c>
      <c r="K386" t="s">
        <v>17</v>
      </c>
      <c r="L386">
        <v>3</v>
      </c>
    </row>
    <row r="387" spans="1:12" x14ac:dyDescent="0.35">
      <c r="A387">
        <v>1340</v>
      </c>
      <c r="B387" t="s">
        <v>357</v>
      </c>
      <c r="C387" t="s">
        <v>10</v>
      </c>
      <c r="D387">
        <v>27</v>
      </c>
      <c r="E387" s="2">
        <v>42344</v>
      </c>
      <c r="F387">
        <v>92889</v>
      </c>
      <c r="G387">
        <f>F387*0.12</f>
        <v>11146.68</v>
      </c>
      <c r="H387">
        <v>1</v>
      </c>
      <c r="I387" t="str">
        <f>IF(H387&gt;=4,"yes","no")</f>
        <v>no</v>
      </c>
      <c r="J387" t="str">
        <f>IF(AND(D387&gt;30,H387&gt;=4),"yes","no")</f>
        <v>no</v>
      </c>
      <c r="K387" t="s">
        <v>11</v>
      </c>
      <c r="L387">
        <v>16</v>
      </c>
    </row>
    <row r="388" spans="1:12" x14ac:dyDescent="0.35">
      <c r="A388">
        <v>1270</v>
      </c>
      <c r="B388" t="s">
        <v>287</v>
      </c>
      <c r="C388" t="s">
        <v>10</v>
      </c>
      <c r="D388">
        <v>47</v>
      </c>
      <c r="E388" s="2">
        <v>42274</v>
      </c>
      <c r="F388">
        <v>92675</v>
      </c>
      <c r="G388">
        <f>F388*0.12</f>
        <v>11121</v>
      </c>
      <c r="H388">
        <v>1</v>
      </c>
      <c r="I388" t="str">
        <f>IF(H388&gt;=4,"yes","no")</f>
        <v>no</v>
      </c>
      <c r="J388" t="str">
        <f>IF(AND(D388&gt;30,H388&gt;=4),"yes","no")</f>
        <v>no</v>
      </c>
      <c r="K388" t="s">
        <v>17</v>
      </c>
      <c r="L388">
        <v>3</v>
      </c>
    </row>
    <row r="389" spans="1:12" x14ac:dyDescent="0.35">
      <c r="A389">
        <v>1011</v>
      </c>
      <c r="B389" t="s">
        <v>27</v>
      </c>
      <c r="C389" t="s">
        <v>10</v>
      </c>
      <c r="D389">
        <v>22</v>
      </c>
      <c r="E389" s="2">
        <v>42015</v>
      </c>
      <c r="F389">
        <v>92298</v>
      </c>
      <c r="G389">
        <f>F389*0.12</f>
        <v>11075.76</v>
      </c>
      <c r="H389">
        <v>5</v>
      </c>
      <c r="I389" t="str">
        <f>IF(H389&gt;=4,"yes","no")</f>
        <v>yes</v>
      </c>
      <c r="J389" t="str">
        <f>IF(AND(D389&gt;30,H389&gt;=4),"yes","no")</f>
        <v>no</v>
      </c>
      <c r="K389" t="s">
        <v>23</v>
      </c>
      <c r="L389">
        <v>14</v>
      </c>
    </row>
    <row r="390" spans="1:12" x14ac:dyDescent="0.35">
      <c r="A390">
        <v>1306</v>
      </c>
      <c r="B390" t="s">
        <v>323</v>
      </c>
      <c r="C390" t="s">
        <v>10</v>
      </c>
      <c r="D390">
        <v>56</v>
      </c>
      <c r="E390" s="2">
        <v>42310</v>
      </c>
      <c r="F390">
        <v>91672</v>
      </c>
      <c r="G390">
        <f>F390*0.12</f>
        <v>11000.64</v>
      </c>
      <c r="H390">
        <v>2</v>
      </c>
      <c r="I390" t="str">
        <f>IF(H390&gt;=4,"yes","no")</f>
        <v>no</v>
      </c>
      <c r="J390" t="str">
        <f>IF(AND(D390&gt;30,H390&gt;=4),"yes","no")</f>
        <v>no</v>
      </c>
      <c r="K390" t="s">
        <v>23</v>
      </c>
      <c r="L390">
        <v>25</v>
      </c>
    </row>
    <row r="391" spans="1:12" x14ac:dyDescent="0.35">
      <c r="A391">
        <v>1128</v>
      </c>
      <c r="B391" t="s">
        <v>145</v>
      </c>
      <c r="C391" t="s">
        <v>10</v>
      </c>
      <c r="D391">
        <v>25</v>
      </c>
      <c r="E391" s="2">
        <v>42132</v>
      </c>
      <c r="F391">
        <v>91081</v>
      </c>
      <c r="G391">
        <f>F391*0.12</f>
        <v>10929.72</v>
      </c>
      <c r="H391">
        <v>3</v>
      </c>
      <c r="I391" t="str">
        <f>IF(H391&gt;=4,"yes","no")</f>
        <v>no</v>
      </c>
      <c r="J391" t="str">
        <f>IF(AND(D391&gt;30,H391&gt;=4),"yes","no")</f>
        <v>no</v>
      </c>
      <c r="K391" t="s">
        <v>17</v>
      </c>
      <c r="L391">
        <v>23</v>
      </c>
    </row>
    <row r="392" spans="1:12" x14ac:dyDescent="0.35">
      <c r="A392">
        <v>1433</v>
      </c>
      <c r="B392" t="s">
        <v>450</v>
      </c>
      <c r="C392" t="s">
        <v>10</v>
      </c>
      <c r="D392">
        <v>48</v>
      </c>
      <c r="E392" s="2">
        <v>42437</v>
      </c>
      <c r="F392">
        <v>90455</v>
      </c>
      <c r="G392">
        <f>F392*0.12</f>
        <v>10854.6</v>
      </c>
      <c r="H392">
        <v>2</v>
      </c>
      <c r="I392" t="str">
        <f>IF(H392&gt;=4,"yes","no")</f>
        <v>no</v>
      </c>
      <c r="J392" t="str">
        <f>IF(AND(D392&gt;30,H392&gt;=4),"yes","no")</f>
        <v>no</v>
      </c>
      <c r="K392" t="s">
        <v>17</v>
      </c>
      <c r="L392">
        <v>1</v>
      </c>
    </row>
    <row r="393" spans="1:12" x14ac:dyDescent="0.35">
      <c r="A393">
        <v>1595</v>
      </c>
      <c r="B393" t="s">
        <v>612</v>
      </c>
      <c r="C393" t="s">
        <v>10</v>
      </c>
      <c r="D393">
        <v>50</v>
      </c>
      <c r="E393" s="2">
        <v>42599</v>
      </c>
      <c r="F393">
        <v>89324</v>
      </c>
      <c r="G393">
        <f>F393*0.12</f>
        <v>10718.88</v>
      </c>
      <c r="H393">
        <v>4</v>
      </c>
      <c r="I393" t="str">
        <f>IF(H393&gt;=4,"yes","no")</f>
        <v>yes</v>
      </c>
      <c r="J393" t="str">
        <f>IF(AND(D393&gt;30,H393&gt;=4),"yes","no")</f>
        <v>yes</v>
      </c>
      <c r="K393" t="s">
        <v>19</v>
      </c>
      <c r="L393">
        <v>21</v>
      </c>
    </row>
    <row r="394" spans="1:12" x14ac:dyDescent="0.35">
      <c r="A394">
        <v>1335</v>
      </c>
      <c r="B394" t="s">
        <v>352</v>
      </c>
      <c r="C394" t="s">
        <v>10</v>
      </c>
      <c r="D394">
        <v>46</v>
      </c>
      <c r="E394" s="2">
        <v>42339</v>
      </c>
      <c r="F394">
        <v>88888</v>
      </c>
      <c r="G394">
        <f>F394*0.12</f>
        <v>10666.56</v>
      </c>
      <c r="H394">
        <v>3</v>
      </c>
      <c r="I394" t="str">
        <f>IF(H394&gt;=4,"yes","no")</f>
        <v>no</v>
      </c>
      <c r="J394" t="str">
        <f>IF(AND(D394&gt;30,H394&gt;=4),"yes","no")</f>
        <v>no</v>
      </c>
      <c r="K394" t="s">
        <v>19</v>
      </c>
      <c r="L394">
        <v>8</v>
      </c>
    </row>
    <row r="395" spans="1:12" x14ac:dyDescent="0.35">
      <c r="A395">
        <v>1446</v>
      </c>
      <c r="B395" t="s">
        <v>463</v>
      </c>
      <c r="C395" t="s">
        <v>10</v>
      </c>
      <c r="D395">
        <v>49</v>
      </c>
      <c r="E395" s="2">
        <v>42450</v>
      </c>
      <c r="F395">
        <v>87046</v>
      </c>
      <c r="G395">
        <f>F395*0.12</f>
        <v>10445.52</v>
      </c>
      <c r="H395">
        <v>3</v>
      </c>
      <c r="I395" t="str">
        <f>IF(H395&gt;=4,"yes","no")</f>
        <v>no</v>
      </c>
      <c r="J395" t="str">
        <f>IF(AND(D395&gt;30,H395&gt;=4),"yes","no")</f>
        <v>no</v>
      </c>
      <c r="K395" t="s">
        <v>19</v>
      </c>
      <c r="L395">
        <v>1</v>
      </c>
    </row>
    <row r="396" spans="1:12" x14ac:dyDescent="0.35">
      <c r="A396">
        <v>1218</v>
      </c>
      <c r="B396" t="s">
        <v>235</v>
      </c>
      <c r="C396" t="s">
        <v>10</v>
      </c>
      <c r="D396">
        <v>55</v>
      </c>
      <c r="E396" s="2">
        <v>42222</v>
      </c>
      <c r="F396">
        <v>86413</v>
      </c>
      <c r="G396">
        <f>F396*0.12</f>
        <v>10369.56</v>
      </c>
      <c r="H396">
        <v>4</v>
      </c>
      <c r="I396" t="str">
        <f>IF(H396&gt;=4,"yes","no")</f>
        <v>yes</v>
      </c>
      <c r="J396" t="str">
        <f>IF(AND(D396&gt;30,H396&gt;=4),"yes","no")</f>
        <v>yes</v>
      </c>
      <c r="K396" t="s">
        <v>19</v>
      </c>
      <c r="L396">
        <v>12</v>
      </c>
    </row>
    <row r="397" spans="1:12" x14ac:dyDescent="0.35">
      <c r="A397">
        <v>1372</v>
      </c>
      <c r="B397" t="s">
        <v>389</v>
      </c>
      <c r="C397" t="s">
        <v>10</v>
      </c>
      <c r="D397">
        <v>26</v>
      </c>
      <c r="E397" s="2">
        <v>42376</v>
      </c>
      <c r="F397">
        <v>85545</v>
      </c>
      <c r="G397">
        <f>F397*0.12</f>
        <v>10265.4</v>
      </c>
      <c r="H397">
        <v>4</v>
      </c>
      <c r="I397" t="str">
        <f>IF(H397&gt;=4,"yes","no")</f>
        <v>yes</v>
      </c>
      <c r="J397" t="str">
        <f>IF(AND(D397&gt;30,H397&gt;=4),"yes","no")</f>
        <v>no</v>
      </c>
      <c r="K397" t="s">
        <v>14</v>
      </c>
      <c r="L397">
        <v>23</v>
      </c>
    </row>
    <row r="398" spans="1:12" x14ac:dyDescent="0.35">
      <c r="A398">
        <v>1544</v>
      </c>
      <c r="B398" t="s">
        <v>561</v>
      </c>
      <c r="C398" t="s">
        <v>10</v>
      </c>
      <c r="D398">
        <v>45</v>
      </c>
      <c r="E398" s="2">
        <v>42548</v>
      </c>
      <c r="F398">
        <v>85315</v>
      </c>
      <c r="G398">
        <f>F398*0.12</f>
        <v>10237.799999999999</v>
      </c>
      <c r="H398">
        <v>3</v>
      </c>
      <c r="I398" t="str">
        <f>IF(H398&gt;=4,"yes","no")</f>
        <v>no</v>
      </c>
      <c r="J398" t="str">
        <f>IF(AND(D398&gt;30,H398&gt;=4),"yes","no")</f>
        <v>no</v>
      </c>
      <c r="K398" t="s">
        <v>14</v>
      </c>
      <c r="L398">
        <v>3</v>
      </c>
    </row>
    <row r="399" spans="1:12" x14ac:dyDescent="0.35">
      <c r="A399">
        <v>1224</v>
      </c>
      <c r="B399" t="s">
        <v>241</v>
      </c>
      <c r="C399" t="s">
        <v>10</v>
      </c>
      <c r="D399">
        <v>55</v>
      </c>
      <c r="E399" s="2">
        <v>42228</v>
      </c>
      <c r="F399">
        <v>84720</v>
      </c>
      <c r="G399">
        <f>F399*0.12</f>
        <v>10166.4</v>
      </c>
      <c r="H399">
        <v>3</v>
      </c>
      <c r="I399" t="str">
        <f>IF(H399&gt;=4,"yes","no")</f>
        <v>no</v>
      </c>
      <c r="J399" t="str">
        <f>IF(AND(D399&gt;30,H399&gt;=4),"yes","no")</f>
        <v>no</v>
      </c>
      <c r="K399" t="s">
        <v>17</v>
      </c>
      <c r="L399">
        <v>2</v>
      </c>
    </row>
    <row r="400" spans="1:12" x14ac:dyDescent="0.35">
      <c r="A400">
        <v>1147</v>
      </c>
      <c r="B400" t="s">
        <v>164</v>
      </c>
      <c r="C400" t="s">
        <v>10</v>
      </c>
      <c r="D400">
        <v>25</v>
      </c>
      <c r="E400" s="2">
        <v>42151</v>
      </c>
      <c r="F400">
        <v>83606</v>
      </c>
      <c r="G400">
        <f>F400*0.12</f>
        <v>10032.719999999999</v>
      </c>
      <c r="H400">
        <v>1</v>
      </c>
      <c r="I400" t="str">
        <f>IF(H400&gt;=4,"yes","no")</f>
        <v>no</v>
      </c>
      <c r="J400" t="str">
        <f>IF(AND(D400&gt;30,H400&gt;=4),"yes","no")</f>
        <v>no</v>
      </c>
      <c r="K400" t="s">
        <v>17</v>
      </c>
      <c r="L400">
        <v>5</v>
      </c>
    </row>
    <row r="401" spans="1:12" x14ac:dyDescent="0.35">
      <c r="A401">
        <v>1051</v>
      </c>
      <c r="B401" t="s">
        <v>68</v>
      </c>
      <c r="C401" t="s">
        <v>10</v>
      </c>
      <c r="D401">
        <v>26</v>
      </c>
      <c r="E401" s="2">
        <v>42055</v>
      </c>
      <c r="F401">
        <v>82134</v>
      </c>
      <c r="G401">
        <f>F401*0.12</f>
        <v>9856.08</v>
      </c>
      <c r="H401">
        <v>5</v>
      </c>
      <c r="I401" t="str">
        <f>IF(H401&gt;=4,"yes","no")</f>
        <v>yes</v>
      </c>
      <c r="J401" t="str">
        <f>IF(AND(D401&gt;30,H401&gt;=4),"yes","no")</f>
        <v>no</v>
      </c>
      <c r="K401" t="s">
        <v>23</v>
      </c>
      <c r="L401">
        <v>27</v>
      </c>
    </row>
    <row r="402" spans="1:12" x14ac:dyDescent="0.35">
      <c r="A402">
        <v>1186</v>
      </c>
      <c r="B402" t="s">
        <v>203</v>
      </c>
      <c r="C402" t="s">
        <v>10</v>
      </c>
      <c r="D402">
        <v>49</v>
      </c>
      <c r="E402" s="2">
        <v>42190</v>
      </c>
      <c r="F402">
        <v>81979</v>
      </c>
      <c r="G402">
        <f>F402*0.12</f>
        <v>9837.48</v>
      </c>
      <c r="H402">
        <v>3</v>
      </c>
      <c r="I402" t="str">
        <f>IF(H402&gt;=4,"yes","no")</f>
        <v>no</v>
      </c>
      <c r="J402" t="str">
        <f>IF(AND(D402&gt;30,H402&gt;=4),"yes","no")</f>
        <v>no</v>
      </c>
      <c r="K402" t="s">
        <v>11</v>
      </c>
      <c r="L402">
        <v>4</v>
      </c>
    </row>
    <row r="403" spans="1:12" x14ac:dyDescent="0.35">
      <c r="A403">
        <v>1030</v>
      </c>
      <c r="B403" t="s">
        <v>47</v>
      </c>
      <c r="C403" t="s">
        <v>10</v>
      </c>
      <c r="D403">
        <v>49</v>
      </c>
      <c r="E403" s="2">
        <v>42034</v>
      </c>
      <c r="F403">
        <v>80337</v>
      </c>
      <c r="G403">
        <f>F403*0.12</f>
        <v>9640.44</v>
      </c>
      <c r="H403">
        <v>1</v>
      </c>
      <c r="I403" t="str">
        <f>IF(H403&gt;=4,"yes","no")</f>
        <v>no</v>
      </c>
      <c r="J403" t="str">
        <f>IF(AND(D403&gt;30,H403&gt;=4),"yes","no")</f>
        <v>no</v>
      </c>
      <c r="K403" t="s">
        <v>14</v>
      </c>
      <c r="L403">
        <v>25</v>
      </c>
    </row>
    <row r="404" spans="1:12" hidden="1" x14ac:dyDescent="0.35">
      <c r="A404">
        <v>1062</v>
      </c>
      <c r="B404" t="s">
        <v>79</v>
      </c>
      <c r="C404" t="s">
        <v>10</v>
      </c>
      <c r="D404">
        <v>34</v>
      </c>
      <c r="E404" s="2">
        <v>42066</v>
      </c>
      <c r="F404">
        <v>79756</v>
      </c>
      <c r="G404">
        <f>F404*0.12</f>
        <v>9570.7199999999993</v>
      </c>
      <c r="H404">
        <v>1</v>
      </c>
      <c r="I404" t="str">
        <f>IF(H404&gt;=4,"yes","no")</f>
        <v>no</v>
      </c>
      <c r="J404" t="str">
        <f>IF(AND(D404&gt;30,H404&gt;=4),"yes","no")</f>
        <v>no</v>
      </c>
      <c r="K404" t="s">
        <v>19</v>
      </c>
      <c r="L404">
        <v>29</v>
      </c>
    </row>
    <row r="405" spans="1:12" hidden="1" x14ac:dyDescent="0.35">
      <c r="A405">
        <v>1287</v>
      </c>
      <c r="B405" t="s">
        <v>304</v>
      </c>
      <c r="C405" t="s">
        <v>10</v>
      </c>
      <c r="D405">
        <v>41</v>
      </c>
      <c r="E405" s="2">
        <v>42291</v>
      </c>
      <c r="F405">
        <v>79302</v>
      </c>
      <c r="G405">
        <f>F405*0.12</f>
        <v>9516.24</v>
      </c>
      <c r="H405">
        <v>4</v>
      </c>
      <c r="I405" t="str">
        <f>IF(H405&gt;=4,"yes","no")</f>
        <v>yes</v>
      </c>
      <c r="J405" t="str">
        <f>IF(AND(D405&gt;30,H405&gt;=4),"yes","no")</f>
        <v>yes</v>
      </c>
      <c r="K405" t="s">
        <v>19</v>
      </c>
      <c r="L405">
        <v>4</v>
      </c>
    </row>
    <row r="406" spans="1:12" hidden="1" x14ac:dyDescent="0.35">
      <c r="A406">
        <v>1422</v>
      </c>
      <c r="B406" t="s">
        <v>439</v>
      </c>
      <c r="C406" t="s">
        <v>10</v>
      </c>
      <c r="D406">
        <v>30</v>
      </c>
      <c r="E406" s="2">
        <v>42426</v>
      </c>
      <c r="F406">
        <v>77098</v>
      </c>
      <c r="G406">
        <f>F406*0.12</f>
        <v>9251.76</v>
      </c>
      <c r="H406">
        <v>5</v>
      </c>
      <c r="I406" t="str">
        <f>IF(H406&gt;=4,"yes","no")</f>
        <v>yes</v>
      </c>
      <c r="J406" t="str">
        <f>IF(AND(D406&gt;30,H406&gt;=4),"yes","no")</f>
        <v>no</v>
      </c>
      <c r="K406" t="s">
        <v>14</v>
      </c>
      <c r="L406">
        <v>1</v>
      </c>
    </row>
    <row r="407" spans="1:12" hidden="1" x14ac:dyDescent="0.35">
      <c r="A407">
        <v>1059</v>
      </c>
      <c r="B407" t="s">
        <v>76</v>
      </c>
      <c r="C407" t="s">
        <v>10</v>
      </c>
      <c r="D407">
        <v>46</v>
      </c>
      <c r="E407" s="2">
        <v>42063</v>
      </c>
      <c r="F407">
        <v>76860</v>
      </c>
      <c r="G407">
        <f>F407*0.12</f>
        <v>9223.1999999999989</v>
      </c>
      <c r="H407">
        <v>3</v>
      </c>
      <c r="I407" t="str">
        <f>IF(H407&gt;=4,"yes","no")</f>
        <v>no</v>
      </c>
      <c r="J407" t="str">
        <f>IF(AND(D407&gt;30,H407&gt;=4),"yes","no")</f>
        <v>no</v>
      </c>
      <c r="K407" t="s">
        <v>23</v>
      </c>
      <c r="L407">
        <v>5</v>
      </c>
    </row>
    <row r="408" spans="1:12" hidden="1" x14ac:dyDescent="0.35">
      <c r="A408">
        <v>1274</v>
      </c>
      <c r="B408" t="s">
        <v>291</v>
      </c>
      <c r="C408" t="s">
        <v>10</v>
      </c>
      <c r="D408">
        <v>32</v>
      </c>
      <c r="E408" s="2">
        <v>42278</v>
      </c>
      <c r="F408">
        <v>76756</v>
      </c>
      <c r="G408">
        <f>F408*0.12</f>
        <v>9210.7199999999993</v>
      </c>
      <c r="H408">
        <v>2</v>
      </c>
      <c r="I408" t="str">
        <f>IF(H408&gt;=4,"yes","no")</f>
        <v>no</v>
      </c>
      <c r="J408" t="str">
        <f>IF(AND(D408&gt;30,H408&gt;=4),"yes","no")</f>
        <v>no</v>
      </c>
      <c r="K408" t="s">
        <v>14</v>
      </c>
      <c r="L408">
        <v>20</v>
      </c>
    </row>
    <row r="409" spans="1:12" hidden="1" x14ac:dyDescent="0.35">
      <c r="A409">
        <v>1452</v>
      </c>
      <c r="B409" t="s">
        <v>469</v>
      </c>
      <c r="C409" t="s">
        <v>10</v>
      </c>
      <c r="D409">
        <v>43</v>
      </c>
      <c r="E409" s="2">
        <v>42456</v>
      </c>
      <c r="F409">
        <v>76195</v>
      </c>
      <c r="G409">
        <f>F409*0.12</f>
        <v>9143.4</v>
      </c>
      <c r="H409">
        <v>5</v>
      </c>
      <c r="I409" t="str">
        <f>IF(H409&gt;=4,"yes","no")</f>
        <v>yes</v>
      </c>
      <c r="J409" t="str">
        <f>IF(AND(D409&gt;30,H409&gt;=4),"yes","no")</f>
        <v>yes</v>
      </c>
      <c r="K409" t="s">
        <v>19</v>
      </c>
      <c r="L409">
        <v>23</v>
      </c>
    </row>
    <row r="410" spans="1:12" hidden="1" x14ac:dyDescent="0.35">
      <c r="A410">
        <v>1430</v>
      </c>
      <c r="B410" t="s">
        <v>447</v>
      </c>
      <c r="C410" t="s">
        <v>10</v>
      </c>
      <c r="D410">
        <v>23</v>
      </c>
      <c r="E410" s="2">
        <v>42434</v>
      </c>
      <c r="F410">
        <v>76027</v>
      </c>
      <c r="G410">
        <f>F410*0.12</f>
        <v>9123.24</v>
      </c>
      <c r="H410">
        <v>5</v>
      </c>
      <c r="I410" t="str">
        <f>IF(H410&gt;=4,"yes","no")</f>
        <v>yes</v>
      </c>
      <c r="J410" t="str">
        <f>IF(AND(D410&gt;30,H410&gt;=4),"yes","no")</f>
        <v>no</v>
      </c>
      <c r="K410" t="s">
        <v>17</v>
      </c>
      <c r="L410">
        <v>7</v>
      </c>
    </row>
    <row r="411" spans="1:12" hidden="1" x14ac:dyDescent="0.35">
      <c r="A411">
        <v>1200</v>
      </c>
      <c r="B411" t="s">
        <v>217</v>
      </c>
      <c r="C411" t="s">
        <v>10</v>
      </c>
      <c r="D411">
        <v>46</v>
      </c>
      <c r="E411" s="2">
        <v>42204</v>
      </c>
      <c r="F411">
        <v>75948</v>
      </c>
      <c r="G411">
        <f>F411*0.12</f>
        <v>9113.76</v>
      </c>
      <c r="H411">
        <v>2</v>
      </c>
      <c r="I411" t="str">
        <f>IF(H411&gt;=4,"yes","no")</f>
        <v>no</v>
      </c>
      <c r="J411" t="str">
        <f>IF(AND(D411&gt;30,H411&gt;=4),"yes","no")</f>
        <v>no</v>
      </c>
      <c r="K411" t="s">
        <v>17</v>
      </c>
      <c r="L411">
        <v>16</v>
      </c>
    </row>
    <row r="412" spans="1:12" hidden="1" x14ac:dyDescent="0.35">
      <c r="A412">
        <v>1436</v>
      </c>
      <c r="B412" t="s">
        <v>453</v>
      </c>
      <c r="C412" t="s">
        <v>10</v>
      </c>
      <c r="D412">
        <v>38</v>
      </c>
      <c r="E412" s="2">
        <v>42440</v>
      </c>
      <c r="F412">
        <v>74268</v>
      </c>
      <c r="G412">
        <f>F412*0.12</f>
        <v>8912.16</v>
      </c>
      <c r="H412">
        <v>3</v>
      </c>
      <c r="I412" t="str">
        <f>IF(H412&gt;=4,"yes","no")</f>
        <v>no</v>
      </c>
      <c r="J412" t="str">
        <f>IF(AND(D412&gt;30,H412&gt;=4),"yes","no")</f>
        <v>no</v>
      </c>
      <c r="K412" t="s">
        <v>23</v>
      </c>
      <c r="L412">
        <v>15</v>
      </c>
    </row>
    <row r="413" spans="1:12" hidden="1" x14ac:dyDescent="0.35">
      <c r="A413">
        <v>1581</v>
      </c>
      <c r="B413" t="s">
        <v>598</v>
      </c>
      <c r="C413" t="s">
        <v>10</v>
      </c>
      <c r="D413">
        <v>27</v>
      </c>
      <c r="E413" s="2">
        <v>42585</v>
      </c>
      <c r="F413">
        <v>73364</v>
      </c>
      <c r="G413">
        <f>F413*0.12</f>
        <v>8803.68</v>
      </c>
      <c r="H413">
        <v>4</v>
      </c>
      <c r="I413" t="str">
        <f>IF(H413&gt;=4,"yes","no")</f>
        <v>yes</v>
      </c>
      <c r="J413" t="str">
        <f>IF(AND(D413&gt;30,H413&gt;=4),"yes","no")</f>
        <v>no</v>
      </c>
      <c r="K413" t="s">
        <v>17</v>
      </c>
      <c r="L413">
        <v>3</v>
      </c>
    </row>
    <row r="414" spans="1:12" hidden="1" x14ac:dyDescent="0.35">
      <c r="A414">
        <v>1578</v>
      </c>
      <c r="B414" t="s">
        <v>595</v>
      </c>
      <c r="C414" t="s">
        <v>10</v>
      </c>
      <c r="D414">
        <v>42</v>
      </c>
      <c r="E414" s="2">
        <v>42582</v>
      </c>
      <c r="F414">
        <v>70241</v>
      </c>
      <c r="G414">
        <f>F414*0.12</f>
        <v>8428.92</v>
      </c>
      <c r="H414">
        <v>2</v>
      </c>
      <c r="I414" t="str">
        <f>IF(H414&gt;=4,"yes","no")</f>
        <v>no</v>
      </c>
      <c r="J414" t="str">
        <f>IF(AND(D414&gt;30,H414&gt;=4),"yes","no")</f>
        <v>no</v>
      </c>
      <c r="K414" t="s">
        <v>17</v>
      </c>
      <c r="L414">
        <v>11</v>
      </c>
    </row>
    <row r="415" spans="1:12" hidden="1" x14ac:dyDescent="0.35">
      <c r="A415">
        <v>1033</v>
      </c>
      <c r="B415" t="s">
        <v>50</v>
      </c>
      <c r="C415" t="s">
        <v>10</v>
      </c>
      <c r="D415">
        <v>57</v>
      </c>
      <c r="E415" s="2">
        <v>42037</v>
      </c>
      <c r="F415">
        <v>70186</v>
      </c>
      <c r="G415">
        <f>F415*0.12</f>
        <v>8422.32</v>
      </c>
      <c r="H415">
        <v>4</v>
      </c>
      <c r="I415" t="str">
        <f>IF(H415&gt;=4,"yes","no")</f>
        <v>yes</v>
      </c>
      <c r="J415" t="str">
        <f>IF(AND(D415&gt;30,H415&gt;=4),"yes","no")</f>
        <v>yes</v>
      </c>
      <c r="K415" t="s">
        <v>11</v>
      </c>
      <c r="L415">
        <v>8</v>
      </c>
    </row>
    <row r="416" spans="1:12" hidden="1" x14ac:dyDescent="0.35">
      <c r="A416">
        <v>1137</v>
      </c>
      <c r="B416" t="s">
        <v>154</v>
      </c>
      <c r="C416" t="s">
        <v>10</v>
      </c>
      <c r="D416">
        <v>27</v>
      </c>
      <c r="E416" s="2">
        <v>42141</v>
      </c>
      <c r="F416">
        <v>70084</v>
      </c>
      <c r="G416">
        <f>F416*0.12</f>
        <v>8410.08</v>
      </c>
      <c r="H416">
        <v>1</v>
      </c>
      <c r="I416" t="str">
        <f>IF(H416&gt;=4,"yes","no")</f>
        <v>no</v>
      </c>
      <c r="J416" t="str">
        <f>IF(AND(D416&gt;30,H416&gt;=4),"yes","no")</f>
        <v>no</v>
      </c>
      <c r="K416" t="s">
        <v>14</v>
      </c>
      <c r="L416">
        <v>17</v>
      </c>
    </row>
    <row r="417" spans="1:12" hidden="1" x14ac:dyDescent="0.35">
      <c r="A417">
        <v>1174</v>
      </c>
      <c r="B417" t="s">
        <v>191</v>
      </c>
      <c r="C417" t="s">
        <v>10</v>
      </c>
      <c r="D417">
        <v>43</v>
      </c>
      <c r="E417" s="2">
        <v>42178</v>
      </c>
      <c r="F417">
        <v>70028</v>
      </c>
      <c r="G417">
        <f>F417*0.12</f>
        <v>8403.36</v>
      </c>
      <c r="H417">
        <v>2</v>
      </c>
      <c r="I417" t="str">
        <f>IF(H417&gt;=4,"yes","no")</f>
        <v>no</v>
      </c>
      <c r="J417" t="str">
        <f>IF(AND(D417&gt;30,H417&gt;=4),"yes","no")</f>
        <v>no</v>
      </c>
      <c r="K417" t="s">
        <v>17</v>
      </c>
      <c r="L417">
        <v>10</v>
      </c>
    </row>
    <row r="418" spans="1:12" hidden="1" x14ac:dyDescent="0.35">
      <c r="A418">
        <v>1420</v>
      </c>
      <c r="B418" t="s">
        <v>437</v>
      </c>
      <c r="C418" t="s">
        <v>10</v>
      </c>
      <c r="D418">
        <v>42</v>
      </c>
      <c r="E418" s="2">
        <v>42424</v>
      </c>
      <c r="F418">
        <v>69859</v>
      </c>
      <c r="G418">
        <f>F418*0.12</f>
        <v>8383.08</v>
      </c>
      <c r="H418">
        <v>4</v>
      </c>
      <c r="I418" t="str">
        <f>IF(H418&gt;=4,"yes","no")</f>
        <v>yes</v>
      </c>
      <c r="J418" t="str">
        <f>IF(AND(D418&gt;30,H418&gt;=4),"yes","no")</f>
        <v>yes</v>
      </c>
      <c r="K418" t="s">
        <v>11</v>
      </c>
      <c r="L418">
        <v>12</v>
      </c>
    </row>
    <row r="419" spans="1:12" hidden="1" x14ac:dyDescent="0.35">
      <c r="A419">
        <v>1230</v>
      </c>
      <c r="B419" t="s">
        <v>247</v>
      </c>
      <c r="C419" t="s">
        <v>10</v>
      </c>
      <c r="D419">
        <v>27</v>
      </c>
      <c r="E419" s="2">
        <v>42234</v>
      </c>
      <c r="F419">
        <v>68642</v>
      </c>
      <c r="G419">
        <f>F419*0.12</f>
        <v>8237.0399999999991</v>
      </c>
      <c r="H419">
        <v>1</v>
      </c>
      <c r="I419" t="str">
        <f>IF(H419&gt;=4,"yes","no")</f>
        <v>no</v>
      </c>
      <c r="J419" t="str">
        <f>IF(AND(D419&gt;30,H419&gt;=4),"yes","no")</f>
        <v>no</v>
      </c>
      <c r="K419" t="s">
        <v>19</v>
      </c>
      <c r="L419">
        <v>16</v>
      </c>
    </row>
    <row r="420" spans="1:12" hidden="1" x14ac:dyDescent="0.35">
      <c r="A420">
        <v>1210</v>
      </c>
      <c r="B420" t="s">
        <v>227</v>
      </c>
      <c r="C420" t="s">
        <v>10</v>
      </c>
      <c r="D420">
        <v>41</v>
      </c>
      <c r="E420" s="2">
        <v>42214</v>
      </c>
      <c r="F420">
        <v>67874</v>
      </c>
      <c r="G420">
        <f>F420*0.12</f>
        <v>8144.88</v>
      </c>
      <c r="H420">
        <v>4</v>
      </c>
      <c r="I420" t="str">
        <f>IF(H420&gt;=4,"yes","no")</f>
        <v>yes</v>
      </c>
      <c r="J420" t="str">
        <f>IF(AND(D420&gt;30,H420&gt;=4),"yes","no")</f>
        <v>yes</v>
      </c>
      <c r="K420" t="s">
        <v>17</v>
      </c>
      <c r="L420">
        <v>21</v>
      </c>
    </row>
    <row r="421" spans="1:12" hidden="1" x14ac:dyDescent="0.35">
      <c r="A421">
        <v>1294</v>
      </c>
      <c r="B421" t="s">
        <v>311</v>
      </c>
      <c r="C421" t="s">
        <v>10</v>
      </c>
      <c r="D421">
        <v>36</v>
      </c>
      <c r="E421" s="2">
        <v>42298</v>
      </c>
      <c r="F421">
        <v>67534</v>
      </c>
      <c r="G421">
        <f>F421*0.12</f>
        <v>8104.08</v>
      </c>
      <c r="H421">
        <v>3</v>
      </c>
      <c r="I421" t="str">
        <f>IF(H421&gt;=4,"yes","no")</f>
        <v>no</v>
      </c>
      <c r="J421" t="str">
        <f>IF(AND(D421&gt;30,H421&gt;=4),"yes","no")</f>
        <v>no</v>
      </c>
      <c r="K421" t="s">
        <v>14</v>
      </c>
      <c r="L421">
        <v>11</v>
      </c>
    </row>
    <row r="422" spans="1:12" hidden="1" x14ac:dyDescent="0.35">
      <c r="A422">
        <v>1238</v>
      </c>
      <c r="B422" t="s">
        <v>255</v>
      </c>
      <c r="C422" t="s">
        <v>10</v>
      </c>
      <c r="D422">
        <v>30</v>
      </c>
      <c r="E422" s="2">
        <v>42242</v>
      </c>
      <c r="F422">
        <v>67520</v>
      </c>
      <c r="G422">
        <f>F422*0.12</f>
        <v>8102.4</v>
      </c>
      <c r="H422">
        <v>3</v>
      </c>
      <c r="I422" t="str">
        <f>IF(H422&gt;=4,"yes","no")</f>
        <v>no</v>
      </c>
      <c r="J422" t="str">
        <f>IF(AND(D422&gt;30,H422&gt;=4),"yes","no")</f>
        <v>no</v>
      </c>
      <c r="K422" t="s">
        <v>11</v>
      </c>
      <c r="L422">
        <v>3</v>
      </c>
    </row>
    <row r="423" spans="1:12" hidden="1" x14ac:dyDescent="0.35">
      <c r="A423">
        <v>1367</v>
      </c>
      <c r="B423" t="s">
        <v>384</v>
      </c>
      <c r="C423" t="s">
        <v>10</v>
      </c>
      <c r="D423">
        <v>57</v>
      </c>
      <c r="E423" s="2">
        <v>42371</v>
      </c>
      <c r="F423">
        <v>66846</v>
      </c>
      <c r="G423">
        <f>F423*0.12</f>
        <v>8021.5199999999995</v>
      </c>
      <c r="H423">
        <v>2</v>
      </c>
      <c r="I423" t="str">
        <f>IF(H423&gt;=4,"yes","no")</f>
        <v>no</v>
      </c>
      <c r="J423" t="str">
        <f>IF(AND(D423&gt;30,H423&gt;=4),"yes","no")</f>
        <v>no</v>
      </c>
      <c r="K423" t="s">
        <v>14</v>
      </c>
      <c r="L423">
        <v>11</v>
      </c>
    </row>
    <row r="424" spans="1:12" hidden="1" x14ac:dyDescent="0.35">
      <c r="A424">
        <v>1193</v>
      </c>
      <c r="B424" t="s">
        <v>210</v>
      </c>
      <c r="C424" t="s">
        <v>10</v>
      </c>
      <c r="D424">
        <v>28</v>
      </c>
      <c r="E424" s="2">
        <v>42197</v>
      </c>
      <c r="F424">
        <v>65042</v>
      </c>
      <c r="G424">
        <f>F424*0.12</f>
        <v>7805.04</v>
      </c>
      <c r="H424">
        <v>4</v>
      </c>
      <c r="I424" t="str">
        <f>IF(H424&gt;=4,"yes","no")</f>
        <v>yes</v>
      </c>
      <c r="J424" t="str">
        <f>IF(AND(D424&gt;30,H424&gt;=4),"yes","no")</f>
        <v>no</v>
      </c>
      <c r="K424" t="s">
        <v>23</v>
      </c>
      <c r="L424">
        <v>2</v>
      </c>
    </row>
    <row r="425" spans="1:12" hidden="1" x14ac:dyDescent="0.35">
      <c r="A425">
        <v>1560</v>
      </c>
      <c r="B425" t="s">
        <v>577</v>
      </c>
      <c r="C425" t="s">
        <v>10</v>
      </c>
      <c r="D425">
        <v>50</v>
      </c>
      <c r="E425" s="2">
        <v>42564</v>
      </c>
      <c r="F425">
        <v>64063</v>
      </c>
      <c r="G425">
        <f>F425*0.12</f>
        <v>7687.5599999999995</v>
      </c>
      <c r="H425">
        <v>5</v>
      </c>
      <c r="I425" t="str">
        <f>IF(H425&gt;=4,"yes","no")</f>
        <v>yes</v>
      </c>
      <c r="J425" t="str">
        <f>IF(AND(D425&gt;30,H425&gt;=4),"yes","no")</f>
        <v>yes</v>
      </c>
      <c r="K425" t="s">
        <v>17</v>
      </c>
      <c r="L425">
        <v>25</v>
      </c>
    </row>
    <row r="426" spans="1:12" hidden="1" x14ac:dyDescent="0.35">
      <c r="A426">
        <v>1017</v>
      </c>
      <c r="B426" t="s">
        <v>33</v>
      </c>
      <c r="C426" t="s">
        <v>10</v>
      </c>
      <c r="D426">
        <v>31</v>
      </c>
      <c r="E426" s="2">
        <v>42021</v>
      </c>
      <c r="F426">
        <v>63890</v>
      </c>
      <c r="G426">
        <f>F426*0.12</f>
        <v>7666.7999999999993</v>
      </c>
      <c r="H426">
        <v>3</v>
      </c>
      <c r="I426" t="str">
        <f>IF(H426&gt;=4,"yes","no")</f>
        <v>no</v>
      </c>
      <c r="J426" t="str">
        <f>IF(AND(D426&gt;30,H426&gt;=4),"yes","no")</f>
        <v>no</v>
      </c>
      <c r="K426" t="s">
        <v>17</v>
      </c>
      <c r="L426">
        <v>29</v>
      </c>
    </row>
    <row r="427" spans="1:12" hidden="1" x14ac:dyDescent="0.35">
      <c r="A427">
        <v>1175</v>
      </c>
      <c r="B427" t="s">
        <v>192</v>
      </c>
      <c r="C427" t="s">
        <v>10</v>
      </c>
      <c r="D427">
        <v>51</v>
      </c>
      <c r="E427" s="2">
        <v>42179</v>
      </c>
      <c r="F427">
        <v>62573</v>
      </c>
      <c r="G427">
        <f>F427*0.12</f>
        <v>7508.7599999999993</v>
      </c>
      <c r="H427">
        <v>4</v>
      </c>
      <c r="I427" t="str">
        <f>IF(H427&gt;=4,"yes","no")</f>
        <v>yes</v>
      </c>
      <c r="J427" t="str">
        <f>IF(AND(D427&gt;30,H427&gt;=4),"yes","no")</f>
        <v>yes</v>
      </c>
      <c r="K427" t="s">
        <v>19</v>
      </c>
      <c r="L427">
        <v>26</v>
      </c>
    </row>
    <row r="428" spans="1:12" hidden="1" x14ac:dyDescent="0.35">
      <c r="A428">
        <v>1342</v>
      </c>
      <c r="B428" t="s">
        <v>359</v>
      </c>
      <c r="C428" t="s">
        <v>10</v>
      </c>
      <c r="D428">
        <v>24</v>
      </c>
      <c r="E428" s="2">
        <v>42346</v>
      </c>
      <c r="F428">
        <v>62567</v>
      </c>
      <c r="G428">
        <f>F428*0.12</f>
        <v>7508.04</v>
      </c>
      <c r="H428">
        <v>4</v>
      </c>
      <c r="I428" t="str">
        <f>IF(H428&gt;=4,"yes","no")</f>
        <v>yes</v>
      </c>
      <c r="J428" t="str">
        <f>IF(AND(D428&gt;30,H428&gt;=4),"yes","no")</f>
        <v>no</v>
      </c>
      <c r="K428" t="s">
        <v>11</v>
      </c>
      <c r="L428">
        <v>0</v>
      </c>
    </row>
    <row r="429" spans="1:12" hidden="1" x14ac:dyDescent="0.35">
      <c r="A429">
        <v>1408</v>
      </c>
      <c r="B429" t="s">
        <v>425</v>
      </c>
      <c r="C429" t="s">
        <v>10</v>
      </c>
      <c r="D429">
        <v>35</v>
      </c>
      <c r="E429" s="2">
        <v>42412</v>
      </c>
      <c r="F429">
        <v>61444</v>
      </c>
      <c r="G429">
        <f>F429*0.12</f>
        <v>7373.28</v>
      </c>
      <c r="H429">
        <v>5</v>
      </c>
      <c r="I429" t="str">
        <f>IF(H429&gt;=4,"yes","no")</f>
        <v>yes</v>
      </c>
      <c r="J429" t="str">
        <f>IF(AND(D429&gt;30,H429&gt;=4),"yes","no")</f>
        <v>yes</v>
      </c>
      <c r="K429" t="s">
        <v>19</v>
      </c>
      <c r="L429">
        <v>1</v>
      </c>
    </row>
    <row r="430" spans="1:12" hidden="1" x14ac:dyDescent="0.35">
      <c r="A430">
        <v>1167</v>
      </c>
      <c r="B430" t="s">
        <v>184</v>
      </c>
      <c r="C430" t="s">
        <v>10</v>
      </c>
      <c r="D430">
        <v>47</v>
      </c>
      <c r="E430" s="2">
        <v>42171</v>
      </c>
      <c r="F430">
        <v>60400</v>
      </c>
      <c r="G430">
        <f>F430*0.12</f>
        <v>7248</v>
      </c>
      <c r="H430">
        <v>4</v>
      </c>
      <c r="I430" t="str">
        <f>IF(H430&gt;=4,"yes","no")</f>
        <v>yes</v>
      </c>
      <c r="J430" t="str">
        <f>IF(AND(D430&gt;30,H430&gt;=4),"yes","no")</f>
        <v>yes</v>
      </c>
      <c r="K430" t="s">
        <v>11</v>
      </c>
      <c r="L430">
        <v>10</v>
      </c>
    </row>
    <row r="431" spans="1:12" hidden="1" x14ac:dyDescent="0.35">
      <c r="A431">
        <v>1023</v>
      </c>
      <c r="B431" t="s">
        <v>40</v>
      </c>
      <c r="C431" t="s">
        <v>10</v>
      </c>
      <c r="D431">
        <v>45</v>
      </c>
      <c r="E431" s="2">
        <v>42027</v>
      </c>
      <c r="F431">
        <v>60111</v>
      </c>
      <c r="G431">
        <f>F431*0.12</f>
        <v>7213.32</v>
      </c>
      <c r="H431">
        <v>4</v>
      </c>
      <c r="I431" t="str">
        <f>IF(H431&gt;=4,"yes","no")</f>
        <v>yes</v>
      </c>
      <c r="J431" t="str">
        <f>IF(AND(D431&gt;30,H431&gt;=4),"yes","no")</f>
        <v>yes</v>
      </c>
      <c r="K431" t="s">
        <v>23</v>
      </c>
      <c r="L431">
        <v>14</v>
      </c>
    </row>
    <row r="432" spans="1:12" hidden="1" x14ac:dyDescent="0.35">
      <c r="A432">
        <v>1157</v>
      </c>
      <c r="B432" t="s">
        <v>174</v>
      </c>
      <c r="C432" t="s">
        <v>10</v>
      </c>
      <c r="D432">
        <v>42</v>
      </c>
      <c r="E432" s="2">
        <v>42161</v>
      </c>
      <c r="F432">
        <v>58933</v>
      </c>
      <c r="G432">
        <f>F432*0.12</f>
        <v>7071.96</v>
      </c>
      <c r="H432">
        <v>1</v>
      </c>
      <c r="I432" t="str">
        <f>IF(H432&gt;=4,"yes","no")</f>
        <v>no</v>
      </c>
      <c r="J432" t="str">
        <f>IF(AND(D432&gt;30,H432&gt;=4),"yes","no")</f>
        <v>no</v>
      </c>
      <c r="K432" t="s">
        <v>17</v>
      </c>
      <c r="L432">
        <v>3</v>
      </c>
    </row>
    <row r="433" spans="1:12" hidden="1" x14ac:dyDescent="0.35">
      <c r="A433">
        <v>1515</v>
      </c>
      <c r="B433" t="s">
        <v>532</v>
      </c>
      <c r="C433" t="s">
        <v>10</v>
      </c>
      <c r="D433">
        <v>28</v>
      </c>
      <c r="E433" s="2">
        <v>42519</v>
      </c>
      <c r="F433">
        <v>58662</v>
      </c>
      <c r="G433">
        <f>F433*0.12</f>
        <v>7039.44</v>
      </c>
      <c r="H433">
        <v>1</v>
      </c>
      <c r="I433" t="str">
        <f>IF(H433&gt;=4,"yes","no")</f>
        <v>no</v>
      </c>
      <c r="J433" t="str">
        <f>IF(AND(D433&gt;30,H433&gt;=4),"yes","no")</f>
        <v>no</v>
      </c>
      <c r="K433" t="s">
        <v>14</v>
      </c>
      <c r="L433">
        <v>16</v>
      </c>
    </row>
    <row r="434" spans="1:12" hidden="1" x14ac:dyDescent="0.35">
      <c r="A434">
        <v>1144</v>
      </c>
      <c r="B434" t="s">
        <v>161</v>
      </c>
      <c r="C434" t="s">
        <v>10</v>
      </c>
      <c r="D434">
        <v>32</v>
      </c>
      <c r="E434" s="2">
        <v>42148</v>
      </c>
      <c r="F434">
        <v>58039</v>
      </c>
      <c r="G434">
        <f>F434*0.12</f>
        <v>6964.6799999999994</v>
      </c>
      <c r="H434">
        <v>4</v>
      </c>
      <c r="I434" t="str">
        <f>IF(H434&gt;=4,"yes","no")</f>
        <v>yes</v>
      </c>
      <c r="J434" t="str">
        <f>IF(AND(D434&gt;30,H434&gt;=4),"yes","no")</f>
        <v>yes</v>
      </c>
      <c r="K434" t="s">
        <v>11</v>
      </c>
      <c r="L434">
        <v>10</v>
      </c>
    </row>
    <row r="435" spans="1:12" hidden="1" x14ac:dyDescent="0.35">
      <c r="A435">
        <v>1020</v>
      </c>
      <c r="B435" t="s">
        <v>37</v>
      </c>
      <c r="C435" t="s">
        <v>10</v>
      </c>
      <c r="D435">
        <v>29</v>
      </c>
      <c r="E435" s="2">
        <v>42024</v>
      </c>
      <c r="F435">
        <v>57921</v>
      </c>
      <c r="G435">
        <f>F435*0.12</f>
        <v>6950.5199999999995</v>
      </c>
      <c r="H435">
        <v>2</v>
      </c>
      <c r="I435" t="str">
        <f>IF(H435&gt;=4,"yes","no")</f>
        <v>no</v>
      </c>
      <c r="J435" t="str">
        <f>IF(AND(D435&gt;30,H435&gt;=4),"yes","no")</f>
        <v>no</v>
      </c>
      <c r="K435" t="s">
        <v>11</v>
      </c>
      <c r="L435">
        <v>17</v>
      </c>
    </row>
    <row r="436" spans="1:12" hidden="1" x14ac:dyDescent="0.35">
      <c r="A436">
        <v>1308</v>
      </c>
      <c r="B436" t="s">
        <v>325</v>
      </c>
      <c r="C436" t="s">
        <v>10</v>
      </c>
      <c r="D436">
        <v>22</v>
      </c>
      <c r="E436" s="2">
        <v>42312</v>
      </c>
      <c r="F436">
        <v>56966</v>
      </c>
      <c r="G436">
        <f>F436*0.12</f>
        <v>6835.92</v>
      </c>
      <c r="H436">
        <v>4</v>
      </c>
      <c r="I436" t="str">
        <f>IF(H436&gt;=4,"yes","no")</f>
        <v>yes</v>
      </c>
      <c r="J436" t="str">
        <f>IF(AND(D436&gt;30,H436&gt;=4),"yes","no")</f>
        <v>no</v>
      </c>
      <c r="K436" t="s">
        <v>14</v>
      </c>
      <c r="L436">
        <v>5</v>
      </c>
    </row>
    <row r="437" spans="1:12" hidden="1" x14ac:dyDescent="0.35">
      <c r="A437">
        <v>1566</v>
      </c>
      <c r="B437" t="s">
        <v>583</v>
      </c>
      <c r="C437" t="s">
        <v>10</v>
      </c>
      <c r="D437">
        <v>39</v>
      </c>
      <c r="E437" s="2">
        <v>42570</v>
      </c>
      <c r="F437">
        <v>56860</v>
      </c>
      <c r="G437">
        <f>F437*0.12</f>
        <v>6823.2</v>
      </c>
      <c r="H437">
        <v>1</v>
      </c>
      <c r="I437" t="str">
        <f>IF(H437&gt;=4,"yes","no")</f>
        <v>no</v>
      </c>
      <c r="J437" t="str">
        <f>IF(AND(D437&gt;30,H437&gt;=4),"yes","no")</f>
        <v>no</v>
      </c>
      <c r="K437" t="s">
        <v>11</v>
      </c>
      <c r="L437">
        <v>23</v>
      </c>
    </row>
    <row r="438" spans="1:12" hidden="1" x14ac:dyDescent="0.35">
      <c r="A438">
        <v>1354</v>
      </c>
      <c r="B438" t="s">
        <v>371</v>
      </c>
      <c r="C438" t="s">
        <v>10</v>
      </c>
      <c r="D438">
        <v>58</v>
      </c>
      <c r="E438" s="2">
        <v>42358</v>
      </c>
      <c r="F438">
        <v>56598</v>
      </c>
      <c r="G438">
        <f>F438*0.12</f>
        <v>6791.7599999999993</v>
      </c>
      <c r="H438">
        <v>2</v>
      </c>
      <c r="I438" t="str">
        <f>IF(H438&gt;=4,"yes","no")</f>
        <v>no</v>
      </c>
      <c r="J438" t="str">
        <f>IF(AND(D438&gt;30,H438&gt;=4),"yes","no")</f>
        <v>no</v>
      </c>
      <c r="K438" t="s">
        <v>19</v>
      </c>
      <c r="L438">
        <v>15</v>
      </c>
    </row>
    <row r="439" spans="1:12" hidden="1" x14ac:dyDescent="0.35">
      <c r="A439">
        <v>1414</v>
      </c>
      <c r="B439" t="s">
        <v>431</v>
      </c>
      <c r="C439" t="s">
        <v>10</v>
      </c>
      <c r="D439">
        <v>42</v>
      </c>
      <c r="E439" s="2">
        <v>42418</v>
      </c>
      <c r="F439">
        <v>55707</v>
      </c>
      <c r="G439">
        <f>F439*0.12</f>
        <v>6684.84</v>
      </c>
      <c r="H439">
        <v>4</v>
      </c>
      <c r="I439" t="str">
        <f>IF(H439&gt;=4,"yes","no")</f>
        <v>yes</v>
      </c>
      <c r="J439" t="str">
        <f>IF(AND(D439&gt;30,H439&gt;=4),"yes","no")</f>
        <v>yes</v>
      </c>
      <c r="K439" t="s">
        <v>23</v>
      </c>
      <c r="L439">
        <v>10</v>
      </c>
    </row>
    <row r="440" spans="1:12" hidden="1" x14ac:dyDescent="0.35">
      <c r="A440">
        <v>1455</v>
      </c>
      <c r="B440" t="s">
        <v>472</v>
      </c>
      <c r="C440" t="s">
        <v>10</v>
      </c>
      <c r="D440">
        <v>22</v>
      </c>
      <c r="E440" s="2">
        <v>42459</v>
      </c>
      <c r="F440">
        <v>55087</v>
      </c>
      <c r="G440">
        <f>F440*0.12</f>
        <v>6610.44</v>
      </c>
      <c r="H440">
        <v>5</v>
      </c>
      <c r="I440" t="str">
        <f>IF(H440&gt;=4,"yes","no")</f>
        <v>yes</v>
      </c>
      <c r="J440" t="str">
        <f>IF(AND(D440&gt;30,H440&gt;=4),"yes","no")</f>
        <v>no</v>
      </c>
      <c r="K440" t="s">
        <v>11</v>
      </c>
      <c r="L440">
        <v>26</v>
      </c>
    </row>
    <row r="441" spans="1:12" hidden="1" x14ac:dyDescent="0.35">
      <c r="A441">
        <v>1439</v>
      </c>
      <c r="B441" t="s">
        <v>456</v>
      </c>
      <c r="C441" t="s">
        <v>10</v>
      </c>
      <c r="D441">
        <v>28</v>
      </c>
      <c r="E441" s="2">
        <v>42443</v>
      </c>
      <c r="F441">
        <v>54759</v>
      </c>
      <c r="G441">
        <f>F441*0.12</f>
        <v>6571.08</v>
      </c>
      <c r="H441">
        <v>1</v>
      </c>
      <c r="I441" t="str">
        <f>IF(H441&gt;=4,"yes","no")</f>
        <v>no</v>
      </c>
      <c r="J441" t="str">
        <f>IF(AND(D441&gt;30,H441&gt;=4),"yes","no")</f>
        <v>no</v>
      </c>
      <c r="K441" t="s">
        <v>17</v>
      </c>
      <c r="L441">
        <v>1</v>
      </c>
    </row>
    <row r="442" spans="1:12" hidden="1" x14ac:dyDescent="0.35">
      <c r="A442">
        <v>1357</v>
      </c>
      <c r="B442" t="s">
        <v>374</v>
      </c>
      <c r="C442" t="s">
        <v>10</v>
      </c>
      <c r="D442">
        <v>25</v>
      </c>
      <c r="E442" s="2">
        <v>42361</v>
      </c>
      <c r="F442">
        <v>54241</v>
      </c>
      <c r="G442">
        <f>F442*0.12</f>
        <v>6508.92</v>
      </c>
      <c r="H442">
        <v>2</v>
      </c>
      <c r="I442" t="str">
        <f>IF(H442&gt;=4,"yes","no")</f>
        <v>no</v>
      </c>
      <c r="J442" t="str">
        <f>IF(AND(D442&gt;30,H442&gt;=4),"yes","no")</f>
        <v>no</v>
      </c>
      <c r="K442" t="s">
        <v>23</v>
      </c>
      <c r="L442">
        <v>28</v>
      </c>
    </row>
    <row r="443" spans="1:12" hidden="1" x14ac:dyDescent="0.35">
      <c r="A443">
        <v>1001</v>
      </c>
      <c r="B443" t="s">
        <v>9</v>
      </c>
      <c r="C443" t="s">
        <v>10</v>
      </c>
      <c r="D443">
        <v>32</v>
      </c>
      <c r="E443" s="2">
        <v>42005</v>
      </c>
      <c r="F443">
        <v>53769</v>
      </c>
      <c r="G443">
        <f>F443*0.12</f>
        <v>6452.28</v>
      </c>
      <c r="H443">
        <v>1</v>
      </c>
      <c r="I443" t="str">
        <f>IF(H443&gt;=4,"yes","no")</f>
        <v>no</v>
      </c>
      <c r="J443" t="str">
        <f>IF(AND(D443&gt;30,H443&gt;=4),"yes","no")</f>
        <v>no</v>
      </c>
      <c r="K443" t="s">
        <v>11</v>
      </c>
      <c r="L443">
        <v>7</v>
      </c>
    </row>
    <row r="444" spans="1:12" hidden="1" x14ac:dyDescent="0.35">
      <c r="A444">
        <v>1512</v>
      </c>
      <c r="B444" t="s">
        <v>529</v>
      </c>
      <c r="C444" t="s">
        <v>10</v>
      </c>
      <c r="D444">
        <v>35</v>
      </c>
      <c r="E444" s="2">
        <v>42516</v>
      </c>
      <c r="F444">
        <v>52961</v>
      </c>
      <c r="G444">
        <f>F444*0.12</f>
        <v>6355.32</v>
      </c>
      <c r="H444">
        <v>1</v>
      </c>
      <c r="I444" t="str">
        <f>IF(H444&gt;=4,"yes","no")</f>
        <v>no</v>
      </c>
      <c r="J444" t="str">
        <f>IF(AND(D444&gt;30,H444&gt;=4),"yes","no")</f>
        <v>no</v>
      </c>
      <c r="K444" t="s">
        <v>19</v>
      </c>
      <c r="L444">
        <v>16</v>
      </c>
    </row>
    <row r="445" spans="1:12" hidden="1" x14ac:dyDescent="0.35">
      <c r="A445">
        <v>1526</v>
      </c>
      <c r="B445" t="s">
        <v>543</v>
      </c>
      <c r="C445" t="s">
        <v>10</v>
      </c>
      <c r="D445">
        <v>23</v>
      </c>
      <c r="E445" s="2">
        <v>42530</v>
      </c>
      <c r="F445">
        <v>51745</v>
      </c>
      <c r="G445">
        <f>F445*0.12</f>
        <v>6209.4</v>
      </c>
      <c r="H445">
        <v>4</v>
      </c>
      <c r="I445" t="str">
        <f>IF(H445&gt;=4,"yes","no")</f>
        <v>yes</v>
      </c>
      <c r="J445" t="str">
        <f>IF(AND(D445&gt;30,H445&gt;=4),"yes","no")</f>
        <v>no</v>
      </c>
      <c r="K445" t="s">
        <v>14</v>
      </c>
      <c r="L445">
        <v>7</v>
      </c>
    </row>
    <row r="446" spans="1:12" hidden="1" x14ac:dyDescent="0.35">
      <c r="A446">
        <v>1508</v>
      </c>
      <c r="B446" t="s">
        <v>525</v>
      </c>
      <c r="C446" t="s">
        <v>10</v>
      </c>
      <c r="D446">
        <v>37</v>
      </c>
      <c r="E446" s="2">
        <v>42512</v>
      </c>
      <c r="F446">
        <v>51630</v>
      </c>
      <c r="G446">
        <f>F446*0.12</f>
        <v>6195.5999999999995</v>
      </c>
      <c r="H446">
        <v>5</v>
      </c>
      <c r="I446" t="str">
        <f>IF(H446&gt;=4,"yes","no")</f>
        <v>yes</v>
      </c>
      <c r="J446" t="str">
        <f>IF(AND(D446&gt;30,H446&gt;=4),"yes","no")</f>
        <v>yes</v>
      </c>
      <c r="K446" t="s">
        <v>19</v>
      </c>
      <c r="L446">
        <v>1</v>
      </c>
    </row>
    <row r="447" spans="1:12" hidden="1" x14ac:dyDescent="0.35">
      <c r="A447">
        <v>1209</v>
      </c>
      <c r="B447" t="s">
        <v>226</v>
      </c>
      <c r="C447" t="s">
        <v>10</v>
      </c>
      <c r="D447">
        <v>34</v>
      </c>
      <c r="E447" s="2">
        <v>42213</v>
      </c>
      <c r="F447">
        <v>51172</v>
      </c>
      <c r="G447">
        <f>F447*0.12</f>
        <v>6140.6399999999994</v>
      </c>
      <c r="H447">
        <v>3</v>
      </c>
      <c r="I447" t="str">
        <f>IF(H447&gt;=4,"yes","no")</f>
        <v>no</v>
      </c>
      <c r="J447" t="str">
        <f>IF(AND(D447&gt;30,H447&gt;=4),"yes","no")</f>
        <v>no</v>
      </c>
      <c r="K447" t="s">
        <v>19</v>
      </c>
      <c r="L447">
        <v>15</v>
      </c>
    </row>
    <row r="448" spans="1:12" hidden="1" x14ac:dyDescent="0.35">
      <c r="A448">
        <v>1234</v>
      </c>
      <c r="B448" t="s">
        <v>251</v>
      </c>
      <c r="C448" t="s">
        <v>10</v>
      </c>
      <c r="D448">
        <v>32</v>
      </c>
      <c r="E448" s="2">
        <v>42238</v>
      </c>
      <c r="F448">
        <v>50931</v>
      </c>
      <c r="G448">
        <f>F448*0.12</f>
        <v>6111.7199999999993</v>
      </c>
      <c r="H448">
        <v>5</v>
      </c>
      <c r="I448" t="str">
        <f>IF(H448&gt;=4,"yes","no")</f>
        <v>yes</v>
      </c>
      <c r="J448" t="str">
        <f>IF(AND(D448&gt;30,H448&gt;=4),"yes","no")</f>
        <v>yes</v>
      </c>
      <c r="K448" t="s">
        <v>11</v>
      </c>
      <c r="L448">
        <v>20</v>
      </c>
    </row>
    <row r="449" spans="1:12" hidden="1" x14ac:dyDescent="0.35">
      <c r="A449">
        <v>1565</v>
      </c>
      <c r="B449" t="s">
        <v>582</v>
      </c>
      <c r="C449" t="s">
        <v>10</v>
      </c>
      <c r="D449">
        <v>27</v>
      </c>
      <c r="E449" s="2">
        <v>42569</v>
      </c>
      <c r="F449">
        <v>50849</v>
      </c>
      <c r="G449">
        <f>F449*0.12</f>
        <v>6101.88</v>
      </c>
      <c r="H449">
        <v>1</v>
      </c>
      <c r="I449" t="str">
        <f>IF(H449&gt;=4,"yes","no")</f>
        <v>no</v>
      </c>
      <c r="J449" t="str">
        <f>IF(AND(D449&gt;30,H449&gt;=4),"yes","no")</f>
        <v>no</v>
      </c>
      <c r="K449" t="s">
        <v>11</v>
      </c>
      <c r="L449">
        <v>24</v>
      </c>
    </row>
    <row r="450" spans="1:12" hidden="1" x14ac:dyDescent="0.35">
      <c r="A450">
        <v>1507</v>
      </c>
      <c r="B450" t="s">
        <v>524</v>
      </c>
      <c r="C450" t="s">
        <v>10</v>
      </c>
      <c r="D450">
        <v>53</v>
      </c>
      <c r="E450" s="2">
        <v>42511</v>
      </c>
      <c r="F450">
        <v>49826</v>
      </c>
      <c r="G450">
        <f>F450*0.12</f>
        <v>5979.12</v>
      </c>
      <c r="H450">
        <v>2</v>
      </c>
      <c r="I450" t="str">
        <f>IF(H450&gt;=4,"yes","no")</f>
        <v>no</v>
      </c>
      <c r="J450" t="str">
        <f>IF(AND(D450&gt;30,H450&gt;=4),"yes","no")</f>
        <v>no</v>
      </c>
      <c r="K450" t="s">
        <v>23</v>
      </c>
      <c r="L450">
        <v>23</v>
      </c>
    </row>
    <row r="451" spans="1:12" hidden="1" x14ac:dyDescent="0.35">
      <c r="A451">
        <v>1150</v>
      </c>
      <c r="B451" t="s">
        <v>167</v>
      </c>
      <c r="C451" t="s">
        <v>10</v>
      </c>
      <c r="D451">
        <v>24</v>
      </c>
      <c r="E451" s="2">
        <v>42154</v>
      </c>
      <c r="F451">
        <v>49574</v>
      </c>
      <c r="G451">
        <f>F451*0.12</f>
        <v>5948.88</v>
      </c>
      <c r="H451">
        <v>3</v>
      </c>
      <c r="I451" t="str">
        <f>IF(H451&gt;=4,"yes","no")</f>
        <v>no</v>
      </c>
      <c r="J451" t="str">
        <f>IF(AND(D451&gt;30,H451&gt;=4),"yes","no")</f>
        <v>no</v>
      </c>
      <c r="K451" t="s">
        <v>19</v>
      </c>
      <c r="L451">
        <v>1</v>
      </c>
    </row>
    <row r="452" spans="1:12" hidden="1" x14ac:dyDescent="0.35">
      <c r="A452">
        <v>1032</v>
      </c>
      <c r="B452" t="s">
        <v>49</v>
      </c>
      <c r="C452" t="s">
        <v>10</v>
      </c>
      <c r="D452">
        <v>58</v>
      </c>
      <c r="E452" s="2">
        <v>42036</v>
      </c>
      <c r="F452">
        <v>49354</v>
      </c>
      <c r="G452">
        <f>F452*0.12</f>
        <v>5922.48</v>
      </c>
      <c r="H452">
        <v>4</v>
      </c>
      <c r="I452" t="str">
        <f>IF(H452&gt;=4,"yes","no")</f>
        <v>yes</v>
      </c>
      <c r="J452" t="str">
        <f>IF(AND(D452&gt;30,H452&gt;=4),"yes","no")</f>
        <v>yes</v>
      </c>
      <c r="K452" t="s">
        <v>17</v>
      </c>
      <c r="L452">
        <v>14</v>
      </c>
    </row>
    <row r="453" spans="1:12" hidden="1" x14ac:dyDescent="0.35">
      <c r="A453">
        <v>1015</v>
      </c>
      <c r="B453" t="s">
        <v>31</v>
      </c>
      <c r="C453" t="s">
        <v>10</v>
      </c>
      <c r="D453">
        <v>32</v>
      </c>
      <c r="E453" s="2">
        <v>42019</v>
      </c>
      <c r="F453">
        <v>49058</v>
      </c>
      <c r="G453">
        <f>F453*0.12</f>
        <v>5886.96</v>
      </c>
      <c r="H453">
        <v>4</v>
      </c>
      <c r="I453" t="str">
        <f>IF(H453&gt;=4,"yes","no")</f>
        <v>yes</v>
      </c>
      <c r="J453" t="str">
        <f>IF(AND(D453&gt;30,H453&gt;=4),"yes","no")</f>
        <v>yes</v>
      </c>
      <c r="K453" t="s">
        <v>14</v>
      </c>
      <c r="L453">
        <v>1</v>
      </c>
    </row>
    <row r="454" spans="1:12" hidden="1" x14ac:dyDescent="0.35">
      <c r="A454">
        <v>1587</v>
      </c>
      <c r="B454" t="s">
        <v>604</v>
      </c>
      <c r="C454" t="s">
        <v>10</v>
      </c>
      <c r="D454">
        <v>38</v>
      </c>
      <c r="E454" s="2">
        <v>42591</v>
      </c>
      <c r="F454">
        <v>48279</v>
      </c>
      <c r="G454">
        <f>F454*0.12</f>
        <v>5793.48</v>
      </c>
      <c r="H454">
        <v>2</v>
      </c>
      <c r="I454" t="str">
        <f>IF(H454&gt;=4,"yes","no")</f>
        <v>no</v>
      </c>
      <c r="J454" t="str">
        <f>IF(AND(D454&gt;30,H454&gt;=4),"yes","no")</f>
        <v>no</v>
      </c>
      <c r="K454" t="s">
        <v>14</v>
      </c>
      <c r="L454">
        <v>19</v>
      </c>
    </row>
    <row r="455" spans="1:12" hidden="1" x14ac:dyDescent="0.35">
      <c r="A455">
        <v>1041</v>
      </c>
      <c r="B455" t="s">
        <v>58</v>
      </c>
      <c r="C455" t="s">
        <v>10</v>
      </c>
      <c r="D455">
        <v>50</v>
      </c>
      <c r="E455" s="2">
        <v>42045</v>
      </c>
      <c r="F455">
        <v>48051</v>
      </c>
      <c r="G455">
        <f>F455*0.12</f>
        <v>5766.12</v>
      </c>
      <c r="H455">
        <v>1</v>
      </c>
      <c r="I455" t="str">
        <f>IF(H455&gt;=4,"yes","no")</f>
        <v>no</v>
      </c>
      <c r="J455" t="str">
        <f>IF(AND(D455&gt;30,H455&gt;=4),"yes","no")</f>
        <v>no</v>
      </c>
      <c r="K455" t="s">
        <v>11</v>
      </c>
      <c r="L455">
        <v>10</v>
      </c>
    </row>
    <row r="456" spans="1:12" hidden="1" x14ac:dyDescent="0.35">
      <c r="A456">
        <v>1470</v>
      </c>
      <c r="B456" t="s">
        <v>487</v>
      </c>
      <c r="C456" t="s">
        <v>10</v>
      </c>
      <c r="D456">
        <v>35</v>
      </c>
      <c r="E456" s="2">
        <v>42474</v>
      </c>
      <c r="F456">
        <v>47431</v>
      </c>
      <c r="G456">
        <f>F456*0.12</f>
        <v>5691.7199999999993</v>
      </c>
      <c r="H456">
        <v>3</v>
      </c>
      <c r="I456" t="str">
        <f>IF(H456&gt;=4,"yes","no")</f>
        <v>no</v>
      </c>
      <c r="J456" t="str">
        <f>IF(AND(D456&gt;30,H456&gt;=4),"yes","no")</f>
        <v>no</v>
      </c>
      <c r="K456" t="s">
        <v>19</v>
      </c>
      <c r="L456">
        <v>18</v>
      </c>
    </row>
    <row r="457" spans="1:12" hidden="1" x14ac:dyDescent="0.35">
      <c r="A457">
        <v>1377</v>
      </c>
      <c r="B457" t="s">
        <v>394</v>
      </c>
      <c r="C457" t="s">
        <v>10</v>
      </c>
      <c r="D457">
        <v>48</v>
      </c>
      <c r="E457" s="2">
        <v>42381</v>
      </c>
      <c r="F457">
        <v>47042</v>
      </c>
      <c r="G457">
        <f>F457*0.12</f>
        <v>5645.04</v>
      </c>
      <c r="H457">
        <v>2</v>
      </c>
      <c r="I457" t="str">
        <f>IF(H457&gt;=4,"yes","no")</f>
        <v>no</v>
      </c>
      <c r="J457" t="str">
        <f>IF(AND(D457&gt;30,H457&gt;=4),"yes","no")</f>
        <v>no</v>
      </c>
      <c r="K457" t="s">
        <v>17</v>
      </c>
      <c r="L457">
        <v>2</v>
      </c>
    </row>
    <row r="458" spans="1:12" hidden="1" x14ac:dyDescent="0.35">
      <c r="A458">
        <v>1247</v>
      </c>
      <c r="B458" t="s">
        <v>264</v>
      </c>
      <c r="C458" t="s">
        <v>10</v>
      </c>
      <c r="D458">
        <v>41</v>
      </c>
      <c r="E458" s="2">
        <v>42251</v>
      </c>
      <c r="F458">
        <v>46754</v>
      </c>
      <c r="G458">
        <f>F458*0.12</f>
        <v>5610.48</v>
      </c>
      <c r="H458">
        <v>2</v>
      </c>
      <c r="I458" t="str">
        <f>IF(H458&gt;=4,"yes","no")</f>
        <v>no</v>
      </c>
      <c r="J458" t="str">
        <f>IF(AND(D458&gt;30,H458&gt;=4),"yes","no")</f>
        <v>no</v>
      </c>
      <c r="K458" t="s">
        <v>14</v>
      </c>
      <c r="L458">
        <v>1</v>
      </c>
    </row>
    <row r="459" spans="1:12" hidden="1" x14ac:dyDescent="0.35">
      <c r="A459">
        <v>1405</v>
      </c>
      <c r="B459" t="s">
        <v>422</v>
      </c>
      <c r="C459" t="s">
        <v>10</v>
      </c>
      <c r="D459">
        <v>52</v>
      </c>
      <c r="E459" s="2">
        <v>42409</v>
      </c>
      <c r="F459">
        <v>46563</v>
      </c>
      <c r="G459">
        <f>F459*0.12</f>
        <v>5587.5599999999995</v>
      </c>
      <c r="H459">
        <v>1</v>
      </c>
      <c r="I459" t="str">
        <f>IF(H459&gt;=4,"yes","no")</f>
        <v>no</v>
      </c>
      <c r="J459" t="str">
        <f>IF(AND(D459&gt;30,H459&gt;=4),"yes","no")</f>
        <v>no</v>
      </c>
      <c r="K459" t="s">
        <v>23</v>
      </c>
      <c r="L459">
        <v>7</v>
      </c>
    </row>
    <row r="460" spans="1:12" hidden="1" x14ac:dyDescent="0.35">
      <c r="A460">
        <v>1344</v>
      </c>
      <c r="B460" t="s">
        <v>361</v>
      </c>
      <c r="C460" t="s">
        <v>10</v>
      </c>
      <c r="D460">
        <v>29</v>
      </c>
      <c r="E460" s="2">
        <v>42348</v>
      </c>
      <c r="F460">
        <v>46195</v>
      </c>
      <c r="G460">
        <f>F460*0.12</f>
        <v>5543.4</v>
      </c>
      <c r="H460">
        <v>1</v>
      </c>
      <c r="I460" t="str">
        <f>IF(H460&gt;=4,"yes","no")</f>
        <v>no</v>
      </c>
      <c r="J460" t="str">
        <f>IF(AND(D460&gt;30,H460&gt;=4),"yes","no")</f>
        <v>no</v>
      </c>
      <c r="K460" t="s">
        <v>14</v>
      </c>
      <c r="L460">
        <v>18</v>
      </c>
    </row>
    <row r="461" spans="1:12" hidden="1" x14ac:dyDescent="0.35">
      <c r="A461">
        <v>1338</v>
      </c>
      <c r="B461" t="s">
        <v>355</v>
      </c>
      <c r="C461" t="s">
        <v>10</v>
      </c>
      <c r="D461">
        <v>23</v>
      </c>
      <c r="E461" s="2">
        <v>42342</v>
      </c>
      <c r="F461">
        <v>45953</v>
      </c>
      <c r="G461">
        <f>F461*0.12</f>
        <v>5514.36</v>
      </c>
      <c r="H461">
        <v>4</v>
      </c>
      <c r="I461" t="str">
        <f>IF(H461&gt;=4,"yes","no")</f>
        <v>yes</v>
      </c>
      <c r="J461" t="str">
        <f>IF(AND(D461&gt;30,H461&gt;=4),"yes","no")</f>
        <v>no</v>
      </c>
      <c r="K461" t="s">
        <v>19</v>
      </c>
      <c r="L461">
        <v>12</v>
      </c>
    </row>
    <row r="462" spans="1:12" hidden="1" x14ac:dyDescent="0.35">
      <c r="A462">
        <v>1052</v>
      </c>
      <c r="B462" t="s">
        <v>69</v>
      </c>
      <c r="C462" t="s">
        <v>10</v>
      </c>
      <c r="D462">
        <v>54</v>
      </c>
      <c r="E462" s="2">
        <v>42056</v>
      </c>
      <c r="F462">
        <v>45491</v>
      </c>
      <c r="G462">
        <f>F462*0.12</f>
        <v>5458.92</v>
      </c>
      <c r="H462">
        <v>4</v>
      </c>
      <c r="I462" t="str">
        <f>IF(H462&gt;=4,"yes","no")</f>
        <v>yes</v>
      </c>
      <c r="J462" t="str">
        <f>IF(AND(D462&gt;30,H462&gt;=4),"yes","no")</f>
        <v>yes</v>
      </c>
      <c r="K462" t="s">
        <v>23</v>
      </c>
      <c r="L462">
        <v>2</v>
      </c>
    </row>
    <row r="463" spans="1:12" hidden="1" x14ac:dyDescent="0.35">
      <c r="A463">
        <v>1078</v>
      </c>
      <c r="B463" t="s">
        <v>95</v>
      </c>
      <c r="C463" t="s">
        <v>10</v>
      </c>
      <c r="D463">
        <v>58</v>
      </c>
      <c r="E463" s="2">
        <v>42082</v>
      </c>
      <c r="F463">
        <v>44541</v>
      </c>
      <c r="G463">
        <f>F463*0.12</f>
        <v>5344.92</v>
      </c>
      <c r="H463">
        <v>4</v>
      </c>
      <c r="I463" t="str">
        <f>IF(H463&gt;=4,"yes","no")</f>
        <v>yes</v>
      </c>
      <c r="J463" t="str">
        <f>IF(AND(D463&gt;30,H463&gt;=4),"yes","no")</f>
        <v>yes</v>
      </c>
      <c r="K463" t="s">
        <v>11</v>
      </c>
      <c r="L463">
        <v>29</v>
      </c>
    </row>
    <row r="464" spans="1:12" hidden="1" x14ac:dyDescent="0.35">
      <c r="A464">
        <v>1369</v>
      </c>
      <c r="B464" t="s">
        <v>386</v>
      </c>
      <c r="C464" t="s">
        <v>10</v>
      </c>
      <c r="D464">
        <v>36</v>
      </c>
      <c r="E464" s="2">
        <v>42373</v>
      </c>
      <c r="F464">
        <v>42482</v>
      </c>
      <c r="G464">
        <f>F464*0.12</f>
        <v>5097.84</v>
      </c>
      <c r="H464">
        <v>3</v>
      </c>
      <c r="I464" t="str">
        <f>IF(H464&gt;=4,"yes","no")</f>
        <v>no</v>
      </c>
      <c r="J464" t="str">
        <f>IF(AND(D464&gt;30,H464&gt;=4),"yes","no")</f>
        <v>no</v>
      </c>
      <c r="K464" t="s">
        <v>19</v>
      </c>
      <c r="L464">
        <v>8</v>
      </c>
    </row>
    <row r="465" spans="1:12" hidden="1" x14ac:dyDescent="0.35">
      <c r="A465">
        <v>1066</v>
      </c>
      <c r="B465" t="s">
        <v>83</v>
      </c>
      <c r="C465" t="s">
        <v>10</v>
      </c>
      <c r="D465">
        <v>22</v>
      </c>
      <c r="E465" s="2">
        <v>42070</v>
      </c>
      <c r="F465">
        <v>40896</v>
      </c>
      <c r="G465">
        <f>F465*0.12</f>
        <v>4907.5199999999995</v>
      </c>
      <c r="H465">
        <v>4</v>
      </c>
      <c r="I465" t="str">
        <f>IF(H465&gt;=4,"yes","no")</f>
        <v>yes</v>
      </c>
      <c r="J465" t="str">
        <f>IF(AND(D465&gt;30,H465&gt;=4),"yes","no")</f>
        <v>no</v>
      </c>
      <c r="K465" t="s">
        <v>23</v>
      </c>
      <c r="L465">
        <v>8</v>
      </c>
    </row>
    <row r="466" spans="1:12" hidden="1" x14ac:dyDescent="0.35">
      <c r="A466">
        <v>1362</v>
      </c>
      <c r="B466" t="s">
        <v>379</v>
      </c>
      <c r="C466" t="s">
        <v>10</v>
      </c>
      <c r="D466">
        <v>31</v>
      </c>
      <c r="E466" s="2">
        <v>42366</v>
      </c>
      <c r="F466">
        <v>39288</v>
      </c>
      <c r="G466">
        <f>F466*0.12</f>
        <v>4714.5599999999995</v>
      </c>
      <c r="H466">
        <v>3</v>
      </c>
      <c r="I466" t="str">
        <f>IF(H466&gt;=4,"yes","no")</f>
        <v>no</v>
      </c>
      <c r="J466" t="str">
        <f>IF(AND(D466&gt;30,H466&gt;=4),"yes","no")</f>
        <v>no</v>
      </c>
      <c r="K466" t="s">
        <v>11</v>
      </c>
      <c r="L466">
        <v>9</v>
      </c>
    </row>
    <row r="467" spans="1:12" hidden="1" x14ac:dyDescent="0.35">
      <c r="A467">
        <v>1133</v>
      </c>
      <c r="B467" t="s">
        <v>150</v>
      </c>
      <c r="C467" t="s">
        <v>10</v>
      </c>
      <c r="D467">
        <v>41</v>
      </c>
      <c r="E467" s="2">
        <v>42137</v>
      </c>
      <c r="F467">
        <v>38919</v>
      </c>
      <c r="G467">
        <f>F467*0.12</f>
        <v>4670.28</v>
      </c>
      <c r="H467">
        <v>3</v>
      </c>
      <c r="I467" t="str">
        <f>IF(H467&gt;=4,"yes","no")</f>
        <v>no</v>
      </c>
      <c r="J467" t="str">
        <f>IF(AND(D467&gt;30,H467&gt;=4),"yes","no")</f>
        <v>no</v>
      </c>
      <c r="K467" t="s">
        <v>19</v>
      </c>
      <c r="L467">
        <v>18</v>
      </c>
    </row>
    <row r="468" spans="1:12" hidden="1" x14ac:dyDescent="0.35">
      <c r="A468">
        <v>1361</v>
      </c>
      <c r="B468" t="s">
        <v>378</v>
      </c>
      <c r="C468" t="s">
        <v>10</v>
      </c>
      <c r="D468">
        <v>26</v>
      </c>
      <c r="E468" s="2">
        <v>42365</v>
      </c>
      <c r="F468">
        <v>38025</v>
      </c>
      <c r="G468">
        <f>F468*0.12</f>
        <v>4563</v>
      </c>
      <c r="H468">
        <v>1</v>
      </c>
      <c r="I468" t="str">
        <f>IF(H468&gt;=4,"yes","no")</f>
        <v>no</v>
      </c>
      <c r="J468" t="str">
        <f>IF(AND(D468&gt;30,H468&gt;=4),"yes","no")</f>
        <v>no</v>
      </c>
      <c r="K468" t="s">
        <v>14</v>
      </c>
      <c r="L468">
        <v>21</v>
      </c>
    </row>
    <row r="469" spans="1:12" hidden="1" x14ac:dyDescent="0.35">
      <c r="A469">
        <v>1143</v>
      </c>
      <c r="B469" t="s">
        <v>160</v>
      </c>
      <c r="C469" t="s">
        <v>10</v>
      </c>
      <c r="D469">
        <v>52</v>
      </c>
      <c r="E469" s="2">
        <v>42147</v>
      </c>
      <c r="F469">
        <v>37984</v>
      </c>
      <c r="G469">
        <f>F469*0.12</f>
        <v>4558.08</v>
      </c>
      <c r="H469">
        <v>3</v>
      </c>
      <c r="I469" t="str">
        <f>IF(H469&gt;=4,"yes","no")</f>
        <v>no</v>
      </c>
      <c r="J469" t="str">
        <f>IF(AND(D469&gt;30,H469&gt;=4),"yes","no")</f>
        <v>no</v>
      </c>
      <c r="K469" t="s">
        <v>14</v>
      </c>
      <c r="L469">
        <v>29</v>
      </c>
    </row>
    <row r="470" spans="1:12" hidden="1" x14ac:dyDescent="0.35">
      <c r="A470">
        <v>1589</v>
      </c>
      <c r="B470" t="s">
        <v>606</v>
      </c>
      <c r="C470" t="s">
        <v>10</v>
      </c>
      <c r="D470">
        <v>42</v>
      </c>
      <c r="E470" s="2">
        <v>42593</v>
      </c>
      <c r="F470">
        <v>36561</v>
      </c>
      <c r="G470">
        <f>F470*0.12</f>
        <v>4387.32</v>
      </c>
      <c r="H470">
        <v>2</v>
      </c>
      <c r="I470" t="str">
        <f>IF(H470&gt;=4,"yes","no")</f>
        <v>no</v>
      </c>
      <c r="J470" t="str">
        <f>IF(AND(D470&gt;30,H470&gt;=4),"yes","no")</f>
        <v>no</v>
      </c>
      <c r="K470" t="s">
        <v>14</v>
      </c>
      <c r="L470">
        <v>18</v>
      </c>
    </row>
    <row r="471" spans="1:12" hidden="1" x14ac:dyDescent="0.35">
      <c r="A471">
        <v>1252</v>
      </c>
      <c r="B471" t="s">
        <v>269</v>
      </c>
      <c r="C471" t="s">
        <v>10</v>
      </c>
      <c r="D471">
        <v>27</v>
      </c>
      <c r="E471" s="2">
        <v>42256</v>
      </c>
      <c r="F471">
        <v>34903</v>
      </c>
      <c r="G471">
        <f>F471*0.12</f>
        <v>4188.3599999999997</v>
      </c>
      <c r="H471">
        <v>2</v>
      </c>
      <c r="I471" t="str">
        <f>IF(H471&gt;=4,"yes","no")</f>
        <v>no</v>
      </c>
      <c r="J471" t="str">
        <f>IF(AND(D471&gt;30,H471&gt;=4),"yes","no")</f>
        <v>no</v>
      </c>
      <c r="K471" t="s">
        <v>19</v>
      </c>
      <c r="L471">
        <v>16</v>
      </c>
    </row>
    <row r="472" spans="1:12" hidden="1" x14ac:dyDescent="0.35">
      <c r="A472">
        <v>1489</v>
      </c>
      <c r="B472" t="s">
        <v>506</v>
      </c>
      <c r="C472" t="s">
        <v>10</v>
      </c>
      <c r="D472">
        <v>28</v>
      </c>
      <c r="E472" s="2">
        <v>42493</v>
      </c>
      <c r="F472">
        <v>34078</v>
      </c>
      <c r="G472">
        <f>F472*0.12</f>
        <v>4089.3599999999997</v>
      </c>
      <c r="H472">
        <v>3</v>
      </c>
      <c r="I472" t="str">
        <f>IF(H472&gt;=4,"yes","no")</f>
        <v>no</v>
      </c>
      <c r="J472" t="str">
        <f>IF(AND(D472&gt;30,H472&gt;=4),"yes","no")</f>
        <v>no</v>
      </c>
      <c r="K472" t="s">
        <v>17</v>
      </c>
      <c r="L472">
        <v>13</v>
      </c>
    </row>
    <row r="473" spans="1:12" hidden="1" x14ac:dyDescent="0.35">
      <c r="A473">
        <v>1410</v>
      </c>
      <c r="B473" t="s">
        <v>427</v>
      </c>
      <c r="C473" t="s">
        <v>10</v>
      </c>
      <c r="D473">
        <v>32</v>
      </c>
      <c r="E473" s="2">
        <v>42414</v>
      </c>
      <c r="F473">
        <v>33711</v>
      </c>
      <c r="G473">
        <f>F473*0.12</f>
        <v>4045.3199999999997</v>
      </c>
      <c r="H473">
        <v>5</v>
      </c>
      <c r="I473" t="str">
        <f>IF(H473&gt;=4,"yes","no")</f>
        <v>yes</v>
      </c>
      <c r="J473" t="str">
        <f>IF(AND(D473&gt;30,H473&gt;=4),"yes","no")</f>
        <v>yes</v>
      </c>
      <c r="K473" t="s">
        <v>14</v>
      </c>
      <c r="L473">
        <v>13</v>
      </c>
    </row>
    <row r="474" spans="1:12" hidden="1" x14ac:dyDescent="0.35">
      <c r="A474">
        <v>1217</v>
      </c>
      <c r="B474" t="s">
        <v>234</v>
      </c>
      <c r="C474" t="s">
        <v>10</v>
      </c>
      <c r="D474">
        <v>43</v>
      </c>
      <c r="E474" s="2">
        <v>42221</v>
      </c>
      <c r="F474">
        <v>32906</v>
      </c>
      <c r="G474">
        <f>F474*0.12</f>
        <v>3948.72</v>
      </c>
      <c r="H474">
        <v>4</v>
      </c>
      <c r="I474" t="str">
        <f>IF(H474&gt;=4,"yes","no")</f>
        <v>yes</v>
      </c>
      <c r="J474" t="str">
        <f>IF(AND(D474&gt;30,H474&gt;=4),"yes","no")</f>
        <v>yes</v>
      </c>
      <c r="K474" t="s">
        <v>14</v>
      </c>
      <c r="L474">
        <v>1</v>
      </c>
    </row>
    <row r="475" spans="1:12" hidden="1" x14ac:dyDescent="0.35">
      <c r="A475">
        <v>1435</v>
      </c>
      <c r="B475" t="s">
        <v>452</v>
      </c>
      <c r="C475" t="s">
        <v>10</v>
      </c>
      <c r="D475">
        <v>48</v>
      </c>
      <c r="E475" s="2">
        <v>42439</v>
      </c>
      <c r="F475">
        <v>30109</v>
      </c>
      <c r="G475">
        <f>F475*0.12</f>
        <v>3613.08</v>
      </c>
      <c r="H475">
        <v>2</v>
      </c>
      <c r="I475" t="str">
        <f>IF(H475&gt;=4,"yes","no")</f>
        <v>no</v>
      </c>
      <c r="J475" t="str">
        <f>IF(AND(D475&gt;30,H475&gt;=4),"yes","no")</f>
        <v>no</v>
      </c>
      <c r="K475" t="s">
        <v>17</v>
      </c>
      <c r="L475">
        <v>27</v>
      </c>
    </row>
    <row r="476" spans="1:12" hidden="1" x14ac:dyDescent="0.35">
      <c r="A476">
        <v>1253</v>
      </c>
      <c r="B476" t="s">
        <v>270</v>
      </c>
      <c r="C476" t="s">
        <v>10</v>
      </c>
      <c r="D476">
        <v>51</v>
      </c>
      <c r="E476" s="2">
        <v>42257</v>
      </c>
      <c r="F476">
        <v>28020</v>
      </c>
      <c r="G476">
        <f>F476*0.12</f>
        <v>3362.4</v>
      </c>
      <c r="H476">
        <v>5</v>
      </c>
      <c r="I476" t="str">
        <f>IF(H476&gt;=4,"yes","no")</f>
        <v>yes</v>
      </c>
      <c r="J476" t="str">
        <f>IF(AND(D476&gt;30,H476&gt;=4),"yes","no")</f>
        <v>yes</v>
      </c>
      <c r="K476" t="s">
        <v>23</v>
      </c>
      <c r="L476">
        <v>2</v>
      </c>
    </row>
    <row r="477" spans="1:12" hidden="1" x14ac:dyDescent="0.35">
      <c r="A477">
        <v>1290</v>
      </c>
      <c r="B477" t="s">
        <v>307</v>
      </c>
      <c r="C477" t="s">
        <v>10</v>
      </c>
      <c r="D477">
        <v>30</v>
      </c>
      <c r="E477" s="2">
        <v>42294</v>
      </c>
      <c r="F477">
        <v>27719</v>
      </c>
      <c r="G477">
        <f>F477*0.12</f>
        <v>3326.2799999999997</v>
      </c>
      <c r="H477">
        <v>4</v>
      </c>
      <c r="I477" t="str">
        <f>IF(H477&gt;=4,"yes","no")</f>
        <v>yes</v>
      </c>
      <c r="J477" t="str">
        <f>IF(AND(D477&gt;30,H477&gt;=4),"yes","no")</f>
        <v>no</v>
      </c>
      <c r="K477" t="s">
        <v>17</v>
      </c>
      <c r="L477">
        <v>19</v>
      </c>
    </row>
    <row r="478" spans="1:12" hidden="1" x14ac:dyDescent="0.35">
      <c r="A478">
        <v>1523</v>
      </c>
      <c r="B478" t="s">
        <v>540</v>
      </c>
      <c r="C478" t="s">
        <v>10</v>
      </c>
      <c r="D478">
        <v>57</v>
      </c>
      <c r="E478" s="2">
        <v>42527</v>
      </c>
      <c r="F478">
        <v>26560</v>
      </c>
      <c r="G478">
        <f>F478*0.12</f>
        <v>3187.2</v>
      </c>
      <c r="H478">
        <v>2</v>
      </c>
      <c r="I478" t="str">
        <f>IF(H478&gt;=4,"yes","no")</f>
        <v>no</v>
      </c>
      <c r="J478" t="str">
        <f>IF(AND(D478&gt;30,H478&gt;=4),"yes","no")</f>
        <v>no</v>
      </c>
      <c r="K478" t="s">
        <v>14</v>
      </c>
      <c r="L478">
        <v>22</v>
      </c>
    </row>
    <row r="479" spans="1:12" hidden="1" x14ac:dyDescent="0.35">
      <c r="A479">
        <v>1053</v>
      </c>
      <c r="B479" t="s">
        <v>70</v>
      </c>
      <c r="C479" t="s">
        <v>10</v>
      </c>
      <c r="D479">
        <v>22</v>
      </c>
      <c r="E479" s="2">
        <v>42057</v>
      </c>
      <c r="F479">
        <v>26341</v>
      </c>
      <c r="G479">
        <f>F479*0.12</f>
        <v>3160.92</v>
      </c>
      <c r="H479">
        <v>2</v>
      </c>
      <c r="I479" t="str">
        <f>IF(H479&gt;=4,"yes","no")</f>
        <v>no</v>
      </c>
      <c r="J479" t="str">
        <f>IF(AND(D479&gt;30,H479&gt;=4),"yes","no")</f>
        <v>no</v>
      </c>
      <c r="K479" t="s">
        <v>17</v>
      </c>
      <c r="L479">
        <v>19</v>
      </c>
    </row>
    <row r="480" spans="1:12" hidden="1" x14ac:dyDescent="0.35">
      <c r="A480">
        <v>1540</v>
      </c>
      <c r="B480" t="s">
        <v>557</v>
      </c>
      <c r="C480" t="s">
        <v>10</v>
      </c>
      <c r="D480">
        <v>30</v>
      </c>
      <c r="E480" s="2">
        <v>42544</v>
      </c>
      <c r="F480">
        <v>25661</v>
      </c>
      <c r="G480">
        <f>F480*0.12</f>
        <v>3079.3199999999997</v>
      </c>
      <c r="H480">
        <v>1</v>
      </c>
      <c r="I480" t="str">
        <f>IF(H480&gt;=4,"yes","no")</f>
        <v>no</v>
      </c>
      <c r="J480" t="str">
        <f>IF(AND(D480&gt;30,H480&gt;=4),"yes","no")</f>
        <v>no</v>
      </c>
      <c r="K480" t="s">
        <v>14</v>
      </c>
      <c r="L480">
        <v>26</v>
      </c>
    </row>
    <row r="481" spans="1:12" x14ac:dyDescent="0.35">
      <c r="A481">
        <v>1600</v>
      </c>
      <c r="B481" t="s">
        <v>617</v>
      </c>
      <c r="C481" t="s">
        <v>13</v>
      </c>
      <c r="D481">
        <v>56</v>
      </c>
      <c r="E481" s="2">
        <v>42604</v>
      </c>
      <c r="F481">
        <v>119588</v>
      </c>
      <c r="G481">
        <f>F481*0.12</f>
        <v>14350.56</v>
      </c>
      <c r="H481">
        <v>4</v>
      </c>
      <c r="I481" t="str">
        <f>IF(H481&gt;=4,"yes","no")</f>
        <v>yes</v>
      </c>
      <c r="J481" t="str">
        <f>IF(AND(D481&gt;30,H481&gt;=4),"yes","no")</f>
        <v>yes</v>
      </c>
      <c r="K481" t="s">
        <v>11</v>
      </c>
      <c r="L481">
        <v>2</v>
      </c>
    </row>
    <row r="482" spans="1:12" x14ac:dyDescent="0.35">
      <c r="A482">
        <v>1547</v>
      </c>
      <c r="B482" t="s">
        <v>564</v>
      </c>
      <c r="C482" t="s">
        <v>13</v>
      </c>
      <c r="D482">
        <v>51</v>
      </c>
      <c r="E482" s="2">
        <v>42551</v>
      </c>
      <c r="F482">
        <v>119242</v>
      </c>
      <c r="G482">
        <f>F482*0.12</f>
        <v>14309.039999999999</v>
      </c>
      <c r="H482">
        <v>5</v>
      </c>
      <c r="I482" t="str">
        <f>IF(H482&gt;=4,"yes","no")</f>
        <v>yes</v>
      </c>
      <c r="J482" t="str">
        <f>IF(AND(D482&gt;30,H482&gt;=4),"yes","no")</f>
        <v>yes</v>
      </c>
      <c r="K482" t="s">
        <v>19</v>
      </c>
      <c r="L482">
        <v>18</v>
      </c>
    </row>
    <row r="483" spans="1:12" x14ac:dyDescent="0.35">
      <c r="A483">
        <v>1380</v>
      </c>
      <c r="B483" t="s">
        <v>397</v>
      </c>
      <c r="C483" t="s">
        <v>13</v>
      </c>
      <c r="D483">
        <v>57</v>
      </c>
      <c r="E483" s="2">
        <v>42384</v>
      </c>
      <c r="F483">
        <v>118623</v>
      </c>
      <c r="G483">
        <f>F483*0.12</f>
        <v>14234.76</v>
      </c>
      <c r="H483">
        <v>2</v>
      </c>
      <c r="I483" t="str">
        <f>IF(H483&gt;=4,"yes","no")</f>
        <v>no</v>
      </c>
      <c r="J483" t="str">
        <f>IF(AND(D483&gt;30,H483&gt;=4),"yes","no")</f>
        <v>no</v>
      </c>
      <c r="K483" t="s">
        <v>23</v>
      </c>
      <c r="L483">
        <v>7</v>
      </c>
    </row>
    <row r="484" spans="1:12" x14ac:dyDescent="0.35">
      <c r="A484">
        <v>1536</v>
      </c>
      <c r="B484" t="s">
        <v>553</v>
      </c>
      <c r="C484" t="s">
        <v>13</v>
      </c>
      <c r="D484">
        <v>26</v>
      </c>
      <c r="E484" s="2">
        <v>42540</v>
      </c>
      <c r="F484">
        <v>114899</v>
      </c>
      <c r="G484">
        <f>F484*0.12</f>
        <v>13787.88</v>
      </c>
      <c r="H484">
        <v>4</v>
      </c>
      <c r="I484" t="str">
        <f>IF(H484&gt;=4,"yes","no")</f>
        <v>yes</v>
      </c>
      <c r="J484" t="str">
        <f>IF(AND(D484&gt;30,H484&gt;=4),"yes","no")</f>
        <v>no</v>
      </c>
      <c r="K484" t="s">
        <v>19</v>
      </c>
      <c r="L484">
        <v>0</v>
      </c>
    </row>
    <row r="485" spans="1:12" x14ac:dyDescent="0.35">
      <c r="A485">
        <v>1350</v>
      </c>
      <c r="B485" t="s">
        <v>367</v>
      </c>
      <c r="C485" t="s">
        <v>13</v>
      </c>
      <c r="D485">
        <v>57</v>
      </c>
      <c r="E485" s="2">
        <v>42354</v>
      </c>
      <c r="F485">
        <v>112046</v>
      </c>
      <c r="G485">
        <f>F485*0.12</f>
        <v>13445.519999999999</v>
      </c>
      <c r="H485">
        <v>4</v>
      </c>
      <c r="I485" t="str">
        <f>IF(H485&gt;=4,"yes","no")</f>
        <v>yes</v>
      </c>
      <c r="J485" t="str">
        <f>IF(AND(D485&gt;30,H485&gt;=4),"yes","no")</f>
        <v>yes</v>
      </c>
      <c r="K485" t="s">
        <v>19</v>
      </c>
      <c r="L485">
        <v>14</v>
      </c>
    </row>
    <row r="486" spans="1:12" x14ac:dyDescent="0.35">
      <c r="A486">
        <v>1036</v>
      </c>
      <c r="B486" t="s">
        <v>53</v>
      </c>
      <c r="C486" t="s">
        <v>13</v>
      </c>
      <c r="D486">
        <v>30</v>
      </c>
      <c r="E486" s="2">
        <v>42040</v>
      </c>
      <c r="F486">
        <v>111123</v>
      </c>
      <c r="G486">
        <f>F486*0.12</f>
        <v>13334.76</v>
      </c>
      <c r="H486">
        <v>5</v>
      </c>
      <c r="I486" t="str">
        <f>IF(H486&gt;=4,"yes","no")</f>
        <v>yes</v>
      </c>
      <c r="J486" t="str">
        <f>IF(AND(D486&gt;30,H486&gt;=4),"yes","no")</f>
        <v>no</v>
      </c>
      <c r="K486" t="s">
        <v>17</v>
      </c>
      <c r="L486">
        <v>28</v>
      </c>
    </row>
    <row r="487" spans="1:12" x14ac:dyDescent="0.35">
      <c r="A487">
        <v>1413</v>
      </c>
      <c r="B487" t="s">
        <v>430</v>
      </c>
      <c r="C487" t="s">
        <v>13</v>
      </c>
      <c r="D487">
        <v>58</v>
      </c>
      <c r="E487" s="2">
        <v>42417</v>
      </c>
      <c r="F487">
        <v>110553</v>
      </c>
      <c r="G487">
        <f>F487*0.12</f>
        <v>13266.359999999999</v>
      </c>
      <c r="H487">
        <v>1</v>
      </c>
      <c r="I487" t="str">
        <f>IF(H487&gt;=4,"yes","no")</f>
        <v>no</v>
      </c>
      <c r="J487" t="str">
        <f>IF(AND(D487&gt;30,H487&gt;=4),"yes","no")</f>
        <v>no</v>
      </c>
      <c r="K487" t="s">
        <v>14</v>
      </c>
      <c r="L487">
        <v>5</v>
      </c>
    </row>
    <row r="488" spans="1:12" x14ac:dyDescent="0.35">
      <c r="A488">
        <v>1404</v>
      </c>
      <c r="B488" t="s">
        <v>421</v>
      </c>
      <c r="C488" t="s">
        <v>13</v>
      </c>
      <c r="D488">
        <v>49</v>
      </c>
      <c r="E488" s="2">
        <v>42408</v>
      </c>
      <c r="F488">
        <v>110530</v>
      </c>
      <c r="G488">
        <f>F488*0.12</f>
        <v>13263.6</v>
      </c>
      <c r="H488">
        <v>3</v>
      </c>
      <c r="I488" t="str">
        <f>IF(H488&gt;=4,"yes","no")</f>
        <v>no</v>
      </c>
      <c r="J488" t="str">
        <f>IF(AND(D488&gt;30,H488&gt;=4),"yes","no")</f>
        <v>no</v>
      </c>
      <c r="K488" t="s">
        <v>23</v>
      </c>
      <c r="L488">
        <v>1</v>
      </c>
    </row>
    <row r="489" spans="1:12" x14ac:dyDescent="0.35">
      <c r="A489">
        <v>1038</v>
      </c>
      <c r="B489" t="s">
        <v>55</v>
      </c>
      <c r="C489" t="s">
        <v>13</v>
      </c>
      <c r="D489">
        <v>41</v>
      </c>
      <c r="E489" s="2">
        <v>42042</v>
      </c>
      <c r="F489">
        <v>110469</v>
      </c>
      <c r="G489">
        <f>F489*0.12</f>
        <v>13256.279999999999</v>
      </c>
      <c r="H489">
        <v>4</v>
      </c>
      <c r="I489" t="str">
        <f>IF(H489&gt;=4,"yes","no")</f>
        <v>yes</v>
      </c>
      <c r="J489" t="str">
        <f>IF(AND(D489&gt;30,H489&gt;=4),"yes","no")</f>
        <v>yes</v>
      </c>
      <c r="K489" t="s">
        <v>11</v>
      </c>
      <c r="L489">
        <v>9</v>
      </c>
    </row>
    <row r="490" spans="1:12" x14ac:dyDescent="0.35">
      <c r="A490">
        <v>1582</v>
      </c>
      <c r="B490" t="s">
        <v>599</v>
      </c>
      <c r="C490" t="s">
        <v>13</v>
      </c>
      <c r="D490">
        <v>48</v>
      </c>
      <c r="E490" s="2">
        <v>42586</v>
      </c>
      <c r="F490">
        <v>109878</v>
      </c>
      <c r="G490">
        <f>F490*0.12</f>
        <v>13185.359999999999</v>
      </c>
      <c r="H490">
        <v>3</v>
      </c>
      <c r="I490" t="str">
        <f>IF(H490&gt;=4,"yes","no")</f>
        <v>no</v>
      </c>
      <c r="J490" t="str">
        <f>IF(AND(D490&gt;30,H490&gt;=4),"yes","no")</f>
        <v>no</v>
      </c>
      <c r="K490" t="s">
        <v>17</v>
      </c>
      <c r="L490">
        <v>14</v>
      </c>
    </row>
    <row r="491" spans="1:12" x14ac:dyDescent="0.35">
      <c r="A491">
        <v>1445</v>
      </c>
      <c r="B491" t="s">
        <v>462</v>
      </c>
      <c r="C491" t="s">
        <v>13</v>
      </c>
      <c r="D491">
        <v>47</v>
      </c>
      <c r="E491" s="2">
        <v>42449</v>
      </c>
      <c r="F491">
        <v>108309</v>
      </c>
      <c r="G491">
        <f>F491*0.12</f>
        <v>12997.08</v>
      </c>
      <c r="H491">
        <v>4</v>
      </c>
      <c r="I491" t="str">
        <f>IF(H491&gt;=4,"yes","no")</f>
        <v>yes</v>
      </c>
      <c r="J491" t="str">
        <f>IF(AND(D491&gt;30,H491&gt;=4),"yes","no")</f>
        <v>yes</v>
      </c>
      <c r="K491" t="s">
        <v>23</v>
      </c>
      <c r="L491">
        <v>27</v>
      </c>
    </row>
    <row r="492" spans="1:12" x14ac:dyDescent="0.35">
      <c r="A492">
        <v>1525</v>
      </c>
      <c r="B492" t="s">
        <v>542</v>
      </c>
      <c r="C492" t="s">
        <v>13</v>
      </c>
      <c r="D492">
        <v>39</v>
      </c>
      <c r="E492" s="2">
        <v>42529</v>
      </c>
      <c r="F492">
        <v>108186</v>
      </c>
      <c r="G492">
        <f>F492*0.12</f>
        <v>12982.32</v>
      </c>
      <c r="H492">
        <v>5</v>
      </c>
      <c r="I492" t="str">
        <f>IF(H492&gt;=4,"yes","no")</f>
        <v>yes</v>
      </c>
      <c r="J492" t="str">
        <f>IF(AND(D492&gt;30,H492&gt;=4),"yes","no")</f>
        <v>yes</v>
      </c>
      <c r="K492" t="s">
        <v>14</v>
      </c>
      <c r="L492">
        <v>17</v>
      </c>
    </row>
    <row r="493" spans="1:12" x14ac:dyDescent="0.35">
      <c r="A493">
        <v>1187</v>
      </c>
      <c r="B493" t="s">
        <v>204</v>
      </c>
      <c r="C493" t="s">
        <v>13</v>
      </c>
      <c r="D493">
        <v>44</v>
      </c>
      <c r="E493" s="2">
        <v>42191</v>
      </c>
      <c r="F493">
        <v>106470</v>
      </c>
      <c r="G493">
        <f>F493*0.12</f>
        <v>12776.4</v>
      </c>
      <c r="H493">
        <v>4</v>
      </c>
      <c r="I493" t="str">
        <f>IF(H493&gt;=4,"yes","no")</f>
        <v>yes</v>
      </c>
      <c r="J493" t="str">
        <f>IF(AND(D493&gt;30,H493&gt;=4),"yes","no")</f>
        <v>yes</v>
      </c>
      <c r="K493" t="s">
        <v>14</v>
      </c>
      <c r="L493">
        <v>25</v>
      </c>
    </row>
    <row r="494" spans="1:12" x14ac:dyDescent="0.35">
      <c r="A494">
        <v>1199</v>
      </c>
      <c r="B494" t="s">
        <v>216</v>
      </c>
      <c r="C494" t="s">
        <v>13</v>
      </c>
      <c r="D494">
        <v>36</v>
      </c>
      <c r="E494" s="2">
        <v>42203</v>
      </c>
      <c r="F494">
        <v>106412</v>
      </c>
      <c r="G494">
        <f>F494*0.12</f>
        <v>12769.439999999999</v>
      </c>
      <c r="H494">
        <v>3</v>
      </c>
      <c r="I494" t="str">
        <f>IF(H494&gt;=4,"yes","no")</f>
        <v>no</v>
      </c>
      <c r="J494" t="str">
        <f>IF(AND(D494&gt;30,H494&gt;=4),"yes","no")</f>
        <v>no</v>
      </c>
      <c r="K494" t="s">
        <v>14</v>
      </c>
      <c r="L494">
        <v>8</v>
      </c>
    </row>
    <row r="495" spans="1:12" x14ac:dyDescent="0.35">
      <c r="A495">
        <v>1334</v>
      </c>
      <c r="B495" t="s">
        <v>351</v>
      </c>
      <c r="C495" t="s">
        <v>13</v>
      </c>
      <c r="D495">
        <v>54</v>
      </c>
      <c r="E495" s="2">
        <v>42338</v>
      </c>
      <c r="F495">
        <v>105395</v>
      </c>
      <c r="G495">
        <f>F495*0.12</f>
        <v>12647.4</v>
      </c>
      <c r="H495">
        <v>4</v>
      </c>
      <c r="I495" t="str">
        <f>IF(H495&gt;=4,"yes","no")</f>
        <v>yes</v>
      </c>
      <c r="J495" t="str">
        <f>IF(AND(D495&gt;30,H495&gt;=4),"yes","no")</f>
        <v>yes</v>
      </c>
      <c r="K495" t="s">
        <v>17</v>
      </c>
      <c r="L495">
        <v>15</v>
      </c>
    </row>
    <row r="496" spans="1:12" x14ac:dyDescent="0.35">
      <c r="A496">
        <v>1123</v>
      </c>
      <c r="B496" t="s">
        <v>140</v>
      </c>
      <c r="C496" t="s">
        <v>13</v>
      </c>
      <c r="D496">
        <v>36</v>
      </c>
      <c r="E496" s="2">
        <v>42127</v>
      </c>
      <c r="F496">
        <v>104273</v>
      </c>
      <c r="G496">
        <f>F496*0.12</f>
        <v>12512.76</v>
      </c>
      <c r="H496">
        <v>3</v>
      </c>
      <c r="I496" t="str">
        <f>IF(H496&gt;=4,"yes","no")</f>
        <v>no</v>
      </c>
      <c r="J496" t="str">
        <f>IF(AND(D496&gt;30,H496&gt;=4),"yes","no")</f>
        <v>no</v>
      </c>
      <c r="K496" t="s">
        <v>14</v>
      </c>
      <c r="L496">
        <v>27</v>
      </c>
    </row>
    <row r="497" spans="1:12" x14ac:dyDescent="0.35">
      <c r="A497">
        <v>1429</v>
      </c>
      <c r="B497" t="s">
        <v>446</v>
      </c>
      <c r="C497" t="s">
        <v>13</v>
      </c>
      <c r="D497">
        <v>59</v>
      </c>
      <c r="E497" s="2">
        <v>42433</v>
      </c>
      <c r="F497">
        <v>104083</v>
      </c>
      <c r="G497">
        <f>F497*0.12</f>
        <v>12489.96</v>
      </c>
      <c r="H497">
        <v>3</v>
      </c>
      <c r="I497" t="str">
        <f>IF(H497&gt;=4,"yes","no")</f>
        <v>no</v>
      </c>
      <c r="J497" t="str">
        <f>IF(AND(D497&gt;30,H497&gt;=4),"yes","no")</f>
        <v>no</v>
      </c>
      <c r="K497" t="s">
        <v>23</v>
      </c>
      <c r="L497">
        <v>1</v>
      </c>
    </row>
    <row r="498" spans="1:12" x14ac:dyDescent="0.35">
      <c r="A498">
        <v>1192</v>
      </c>
      <c r="B498" t="s">
        <v>209</v>
      </c>
      <c r="C498" t="s">
        <v>13</v>
      </c>
      <c r="D498">
        <v>35</v>
      </c>
      <c r="E498" s="2">
        <v>42196</v>
      </c>
      <c r="F498">
        <v>102129</v>
      </c>
      <c r="G498">
        <f>F498*0.12</f>
        <v>12255.48</v>
      </c>
      <c r="H498">
        <v>5</v>
      </c>
      <c r="I498" t="str">
        <f>IF(H498&gt;=4,"yes","no")</f>
        <v>yes</v>
      </c>
      <c r="J498" t="str">
        <f>IF(AND(D498&gt;30,H498&gt;=4),"yes","no")</f>
        <v>yes</v>
      </c>
      <c r="K498" t="s">
        <v>23</v>
      </c>
      <c r="L498">
        <v>4</v>
      </c>
    </row>
    <row r="499" spans="1:12" x14ac:dyDescent="0.35">
      <c r="A499">
        <v>1339</v>
      </c>
      <c r="B499" t="s">
        <v>356</v>
      </c>
      <c r="C499" t="s">
        <v>13</v>
      </c>
      <c r="D499">
        <v>35</v>
      </c>
      <c r="E499" s="2">
        <v>42343</v>
      </c>
      <c r="F499">
        <v>101919</v>
      </c>
      <c r="G499">
        <f>F499*0.12</f>
        <v>12230.279999999999</v>
      </c>
      <c r="H499">
        <v>1</v>
      </c>
      <c r="I499" t="str">
        <f>IF(H499&gt;=4,"yes","no")</f>
        <v>no</v>
      </c>
      <c r="J499" t="str">
        <f>IF(AND(D499&gt;30,H499&gt;=4),"yes","no")</f>
        <v>no</v>
      </c>
      <c r="K499" t="s">
        <v>11</v>
      </c>
      <c r="L499">
        <v>16</v>
      </c>
    </row>
    <row r="500" spans="1:12" x14ac:dyDescent="0.35">
      <c r="A500">
        <v>1302</v>
      </c>
      <c r="B500" t="s">
        <v>319</v>
      </c>
      <c r="C500" t="s">
        <v>13</v>
      </c>
      <c r="D500">
        <v>32</v>
      </c>
      <c r="E500" s="2">
        <v>42306</v>
      </c>
      <c r="F500">
        <v>100713</v>
      </c>
      <c r="G500">
        <f>F500*0.12</f>
        <v>12085.56</v>
      </c>
      <c r="H500">
        <v>5</v>
      </c>
      <c r="I500" t="str">
        <f>IF(H500&gt;=4,"yes","no")</f>
        <v>yes</v>
      </c>
      <c r="J500" t="str">
        <f>IF(AND(D500&gt;30,H500&gt;=4),"yes","no")</f>
        <v>yes</v>
      </c>
      <c r="K500" t="s">
        <v>11</v>
      </c>
      <c r="L500">
        <v>11</v>
      </c>
    </row>
    <row r="501" spans="1:12" x14ac:dyDescent="0.35">
      <c r="A501">
        <v>1130</v>
      </c>
      <c r="B501" t="s">
        <v>147</v>
      </c>
      <c r="C501" t="s">
        <v>13</v>
      </c>
      <c r="D501">
        <v>38</v>
      </c>
      <c r="E501" s="2">
        <v>42134</v>
      </c>
      <c r="F501">
        <v>100532</v>
      </c>
      <c r="G501">
        <f>F501*0.12</f>
        <v>12063.84</v>
      </c>
      <c r="H501">
        <v>2</v>
      </c>
      <c r="I501" t="str">
        <f>IF(H501&gt;=4,"yes","no")</f>
        <v>no</v>
      </c>
      <c r="J501" t="str">
        <f>IF(AND(D501&gt;30,H501&gt;=4),"yes","no")</f>
        <v>no</v>
      </c>
      <c r="K501" t="s">
        <v>14</v>
      </c>
      <c r="L501">
        <v>0</v>
      </c>
    </row>
    <row r="502" spans="1:12" x14ac:dyDescent="0.35">
      <c r="A502">
        <v>1010</v>
      </c>
      <c r="B502" t="s">
        <v>26</v>
      </c>
      <c r="C502" t="s">
        <v>13</v>
      </c>
      <c r="D502">
        <v>52</v>
      </c>
      <c r="E502" s="2">
        <v>42014</v>
      </c>
      <c r="F502">
        <v>99478</v>
      </c>
      <c r="G502">
        <f>F502*0.12</f>
        <v>11937.359999999999</v>
      </c>
      <c r="H502">
        <v>3</v>
      </c>
      <c r="I502" t="str">
        <f>IF(H502&gt;=4,"yes","no")</f>
        <v>no</v>
      </c>
      <c r="J502" t="str">
        <f>IF(AND(D502&gt;30,H502&gt;=4),"yes","no")</f>
        <v>no</v>
      </c>
      <c r="K502" t="s">
        <v>19</v>
      </c>
      <c r="L502">
        <v>16</v>
      </c>
    </row>
    <row r="503" spans="1:12" x14ac:dyDescent="0.35">
      <c r="A503">
        <v>1555</v>
      </c>
      <c r="B503" t="s">
        <v>572</v>
      </c>
      <c r="C503" t="s">
        <v>13</v>
      </c>
      <c r="D503">
        <v>46</v>
      </c>
      <c r="E503" s="2">
        <v>42559</v>
      </c>
      <c r="F503">
        <v>99131</v>
      </c>
      <c r="G503">
        <f>F503*0.12</f>
        <v>11895.72</v>
      </c>
      <c r="H503">
        <v>3</v>
      </c>
      <c r="I503" t="str">
        <f>IF(H503&gt;=4,"yes","no")</f>
        <v>no</v>
      </c>
      <c r="J503" t="str">
        <f>IF(AND(D503&gt;30,H503&gt;=4),"yes","no")</f>
        <v>no</v>
      </c>
      <c r="K503" t="s">
        <v>19</v>
      </c>
      <c r="L503">
        <v>18</v>
      </c>
    </row>
    <row r="504" spans="1:12" x14ac:dyDescent="0.35">
      <c r="A504">
        <v>1309</v>
      </c>
      <c r="B504" t="s">
        <v>326</v>
      </c>
      <c r="C504" t="s">
        <v>13</v>
      </c>
      <c r="D504">
        <v>43</v>
      </c>
      <c r="E504" s="2">
        <v>42313</v>
      </c>
      <c r="F504">
        <v>97545</v>
      </c>
      <c r="G504">
        <f>F504*0.12</f>
        <v>11705.4</v>
      </c>
      <c r="H504">
        <v>5</v>
      </c>
      <c r="I504" t="str">
        <f>IF(H504&gt;=4,"yes","no")</f>
        <v>yes</v>
      </c>
      <c r="J504" t="str">
        <f>IF(AND(D504&gt;30,H504&gt;=4),"yes","no")</f>
        <v>yes</v>
      </c>
      <c r="K504" t="s">
        <v>19</v>
      </c>
      <c r="L504">
        <v>10</v>
      </c>
    </row>
    <row r="505" spans="1:12" x14ac:dyDescent="0.35">
      <c r="A505">
        <v>1534</v>
      </c>
      <c r="B505" t="s">
        <v>551</v>
      </c>
      <c r="C505" t="s">
        <v>13</v>
      </c>
      <c r="D505">
        <v>33</v>
      </c>
      <c r="E505" s="2">
        <v>42538</v>
      </c>
      <c r="F505">
        <v>95326</v>
      </c>
      <c r="G505">
        <f>F505*0.12</f>
        <v>11439.119999999999</v>
      </c>
      <c r="H505">
        <v>3</v>
      </c>
      <c r="I505" t="str">
        <f>IF(H505&gt;=4,"yes","no")</f>
        <v>no</v>
      </c>
      <c r="J505" t="str">
        <f>IF(AND(D505&gt;30,H505&gt;=4),"yes","no")</f>
        <v>no</v>
      </c>
      <c r="K505" t="s">
        <v>19</v>
      </c>
      <c r="L505">
        <v>10</v>
      </c>
    </row>
    <row r="506" spans="1:12" x14ac:dyDescent="0.35">
      <c r="A506">
        <v>1530</v>
      </c>
      <c r="B506" t="s">
        <v>547</v>
      </c>
      <c r="C506" t="s">
        <v>13</v>
      </c>
      <c r="D506">
        <v>32</v>
      </c>
      <c r="E506" s="2">
        <v>42534</v>
      </c>
      <c r="F506">
        <v>95316</v>
      </c>
      <c r="G506">
        <f>F506*0.12</f>
        <v>11437.92</v>
      </c>
      <c r="H506">
        <v>1</v>
      </c>
      <c r="I506" t="str">
        <f>IF(H506&gt;=4,"yes","no")</f>
        <v>no</v>
      </c>
      <c r="J506" t="str">
        <f>IF(AND(D506&gt;30,H506&gt;=4),"yes","no")</f>
        <v>no</v>
      </c>
      <c r="K506" t="s">
        <v>14</v>
      </c>
      <c r="L506">
        <v>11</v>
      </c>
    </row>
    <row r="507" spans="1:12" x14ac:dyDescent="0.35">
      <c r="A507">
        <v>1134</v>
      </c>
      <c r="B507" t="s">
        <v>151</v>
      </c>
      <c r="C507" t="s">
        <v>13</v>
      </c>
      <c r="D507">
        <v>45</v>
      </c>
      <c r="E507" s="2">
        <v>42138</v>
      </c>
      <c r="F507">
        <v>94346</v>
      </c>
      <c r="G507">
        <f>F507*0.12</f>
        <v>11321.52</v>
      </c>
      <c r="H507">
        <v>5</v>
      </c>
      <c r="I507" t="str">
        <f>IF(H507&gt;=4,"yes","no")</f>
        <v>yes</v>
      </c>
      <c r="J507" t="str">
        <f>IF(AND(D507&gt;30,H507&gt;=4),"yes","no")</f>
        <v>yes</v>
      </c>
      <c r="K507" t="s">
        <v>14</v>
      </c>
      <c r="L507">
        <v>28</v>
      </c>
    </row>
    <row r="508" spans="1:12" x14ac:dyDescent="0.35">
      <c r="A508">
        <v>1277</v>
      </c>
      <c r="B508" t="s">
        <v>294</v>
      </c>
      <c r="C508" t="s">
        <v>13</v>
      </c>
      <c r="D508">
        <v>24</v>
      </c>
      <c r="E508" s="2">
        <v>42281</v>
      </c>
      <c r="F508">
        <v>94274</v>
      </c>
      <c r="G508">
        <f>F508*0.12</f>
        <v>11312.88</v>
      </c>
      <c r="H508">
        <v>5</v>
      </c>
      <c r="I508" t="str">
        <f>IF(H508&gt;=4,"yes","no")</f>
        <v>yes</v>
      </c>
      <c r="J508" t="str">
        <f>IF(AND(D508&gt;30,H508&gt;=4),"yes","no")</f>
        <v>no</v>
      </c>
      <c r="K508" t="s">
        <v>14</v>
      </c>
      <c r="L508">
        <v>21</v>
      </c>
    </row>
    <row r="509" spans="1:12" x14ac:dyDescent="0.35">
      <c r="A509">
        <v>1409</v>
      </c>
      <c r="B509" t="s">
        <v>426</v>
      </c>
      <c r="C509" t="s">
        <v>13</v>
      </c>
      <c r="D509">
        <v>43</v>
      </c>
      <c r="E509" s="2">
        <v>42413</v>
      </c>
      <c r="F509">
        <v>93916</v>
      </c>
      <c r="G509">
        <f>F509*0.12</f>
        <v>11269.92</v>
      </c>
      <c r="H509">
        <v>2</v>
      </c>
      <c r="I509" t="str">
        <f>IF(H509&gt;=4,"yes","no")</f>
        <v>no</v>
      </c>
      <c r="J509" t="str">
        <f>IF(AND(D509&gt;30,H509&gt;=4),"yes","no")</f>
        <v>no</v>
      </c>
      <c r="K509" t="s">
        <v>14</v>
      </c>
      <c r="L509">
        <v>13</v>
      </c>
    </row>
    <row r="510" spans="1:12" x14ac:dyDescent="0.35">
      <c r="A510">
        <v>1366</v>
      </c>
      <c r="B510" t="s">
        <v>383</v>
      </c>
      <c r="C510" t="s">
        <v>13</v>
      </c>
      <c r="D510">
        <v>52</v>
      </c>
      <c r="E510" s="2">
        <v>42370</v>
      </c>
      <c r="F510">
        <v>93878</v>
      </c>
      <c r="G510">
        <f>F510*0.12</f>
        <v>11265.359999999999</v>
      </c>
      <c r="H510">
        <v>4</v>
      </c>
      <c r="I510" t="str">
        <f>IF(H510&gt;=4,"yes","no")</f>
        <v>yes</v>
      </c>
      <c r="J510" t="str">
        <f>IF(AND(D510&gt;30,H510&gt;=4),"yes","no")</f>
        <v>yes</v>
      </c>
      <c r="K510" t="s">
        <v>17</v>
      </c>
      <c r="L510">
        <v>15</v>
      </c>
    </row>
    <row r="511" spans="1:12" x14ac:dyDescent="0.35">
      <c r="A511">
        <v>1004</v>
      </c>
      <c r="B511" t="s">
        <v>18</v>
      </c>
      <c r="C511" t="s">
        <v>13</v>
      </c>
      <c r="D511">
        <v>56</v>
      </c>
      <c r="E511" s="2">
        <v>42008</v>
      </c>
      <c r="F511">
        <v>93247</v>
      </c>
      <c r="G511">
        <f>F511*0.12</f>
        <v>11189.64</v>
      </c>
      <c r="H511">
        <v>1</v>
      </c>
      <c r="I511" t="str">
        <f>IF(H511&gt;=4,"yes","no")</f>
        <v>no</v>
      </c>
      <c r="J511" t="str">
        <f>IF(AND(D511&gt;30,H511&gt;=4),"yes","no")</f>
        <v>no</v>
      </c>
      <c r="K511" t="s">
        <v>19</v>
      </c>
      <c r="L511">
        <v>13</v>
      </c>
    </row>
    <row r="512" spans="1:12" x14ac:dyDescent="0.35">
      <c r="A512">
        <v>1063</v>
      </c>
      <c r="B512" t="s">
        <v>80</v>
      </c>
      <c r="C512" t="s">
        <v>13</v>
      </c>
      <c r="D512">
        <v>54</v>
      </c>
      <c r="E512" s="2">
        <v>42067</v>
      </c>
      <c r="F512">
        <v>92957</v>
      </c>
      <c r="G512">
        <f>F512*0.12</f>
        <v>11154.84</v>
      </c>
      <c r="H512">
        <v>3</v>
      </c>
      <c r="I512" t="str">
        <f>IF(H512&gt;=4,"yes","no")</f>
        <v>no</v>
      </c>
      <c r="J512" t="str">
        <f>IF(AND(D512&gt;30,H512&gt;=4),"yes","no")</f>
        <v>no</v>
      </c>
      <c r="K512" t="s">
        <v>14</v>
      </c>
      <c r="L512">
        <v>7</v>
      </c>
    </row>
    <row r="513" spans="1:12" x14ac:dyDescent="0.35">
      <c r="A513">
        <v>1018</v>
      </c>
      <c r="B513" t="s">
        <v>34</v>
      </c>
      <c r="C513" t="s">
        <v>13</v>
      </c>
      <c r="D513">
        <v>53</v>
      </c>
      <c r="E513" s="2">
        <v>42022</v>
      </c>
      <c r="F513">
        <v>91017</v>
      </c>
      <c r="G513">
        <f>F513*0.12</f>
        <v>10922.039999999999</v>
      </c>
      <c r="H513">
        <v>2</v>
      </c>
      <c r="I513" t="str">
        <f>IF(H513&gt;=4,"yes","no")</f>
        <v>no</v>
      </c>
      <c r="J513" t="str">
        <f>IF(AND(D513&gt;30,H513&gt;=4),"yes","no")</f>
        <v>no</v>
      </c>
      <c r="K513" t="s">
        <v>19</v>
      </c>
      <c r="L513">
        <v>0</v>
      </c>
    </row>
    <row r="514" spans="1:12" x14ac:dyDescent="0.35">
      <c r="A514">
        <v>1563</v>
      </c>
      <c r="B514" t="s">
        <v>580</v>
      </c>
      <c r="C514" t="s">
        <v>13</v>
      </c>
      <c r="D514">
        <v>58</v>
      </c>
      <c r="E514" s="2">
        <v>42567</v>
      </c>
      <c r="F514">
        <v>90128</v>
      </c>
      <c r="G514">
        <f>F514*0.12</f>
        <v>10815.359999999999</v>
      </c>
      <c r="H514">
        <v>4</v>
      </c>
      <c r="I514" t="str">
        <f>IF(H514&gt;=4,"yes","no")</f>
        <v>yes</v>
      </c>
      <c r="J514" t="str">
        <f>IF(AND(D514&gt;30,H514&gt;=4),"yes","no")</f>
        <v>yes</v>
      </c>
      <c r="K514" t="s">
        <v>19</v>
      </c>
      <c r="L514">
        <v>27</v>
      </c>
    </row>
    <row r="515" spans="1:12" x14ac:dyDescent="0.35">
      <c r="A515">
        <v>1239</v>
      </c>
      <c r="B515" t="s">
        <v>256</v>
      </c>
      <c r="C515" t="s">
        <v>13</v>
      </c>
      <c r="D515">
        <v>24</v>
      </c>
      <c r="E515" s="2">
        <v>42243</v>
      </c>
      <c r="F515">
        <v>89772</v>
      </c>
      <c r="G515">
        <f>F515*0.12</f>
        <v>10772.64</v>
      </c>
      <c r="H515">
        <v>5</v>
      </c>
      <c r="I515" t="str">
        <f>IF(H515&gt;=4,"yes","no")</f>
        <v>yes</v>
      </c>
      <c r="J515" t="str">
        <f>IF(AND(D515&gt;30,H515&gt;=4),"yes","no")</f>
        <v>no</v>
      </c>
      <c r="K515" t="s">
        <v>14</v>
      </c>
      <c r="L515">
        <v>18</v>
      </c>
    </row>
    <row r="516" spans="1:12" x14ac:dyDescent="0.35">
      <c r="A516">
        <v>1472</v>
      </c>
      <c r="B516" t="s">
        <v>489</v>
      </c>
      <c r="C516" t="s">
        <v>13</v>
      </c>
      <c r="D516">
        <v>49</v>
      </c>
      <c r="E516" s="2">
        <v>42476</v>
      </c>
      <c r="F516">
        <v>88483</v>
      </c>
      <c r="G516">
        <f>F516*0.12</f>
        <v>10617.96</v>
      </c>
      <c r="H516">
        <v>5</v>
      </c>
      <c r="I516" t="str">
        <f>IF(H516&gt;=4,"yes","no")</f>
        <v>yes</v>
      </c>
      <c r="J516" t="str">
        <f>IF(AND(D516&gt;30,H516&gt;=4),"yes","no")</f>
        <v>yes</v>
      </c>
      <c r="K516" t="s">
        <v>11</v>
      </c>
      <c r="L516">
        <v>24</v>
      </c>
    </row>
    <row r="517" spans="1:12" x14ac:dyDescent="0.35">
      <c r="A517">
        <v>1142</v>
      </c>
      <c r="B517" t="s">
        <v>159</v>
      </c>
      <c r="C517" t="s">
        <v>13</v>
      </c>
      <c r="D517">
        <v>37</v>
      </c>
      <c r="E517" s="2">
        <v>42146</v>
      </c>
      <c r="F517">
        <v>87187</v>
      </c>
      <c r="G517">
        <f>F517*0.12</f>
        <v>10462.44</v>
      </c>
      <c r="H517">
        <v>5</v>
      </c>
      <c r="I517" t="str">
        <f>IF(H517&gt;=4,"yes","no")</f>
        <v>yes</v>
      </c>
      <c r="J517" t="str">
        <f>IF(AND(D517&gt;30,H517&gt;=4),"yes","no")</f>
        <v>yes</v>
      </c>
      <c r="K517" t="s">
        <v>19</v>
      </c>
      <c r="L517">
        <v>26</v>
      </c>
    </row>
    <row r="518" spans="1:12" x14ac:dyDescent="0.35">
      <c r="A518">
        <v>1140</v>
      </c>
      <c r="B518" t="s">
        <v>157</v>
      </c>
      <c r="C518" t="s">
        <v>13</v>
      </c>
      <c r="D518">
        <v>32</v>
      </c>
      <c r="E518" s="2">
        <v>42144</v>
      </c>
      <c r="F518">
        <v>86916</v>
      </c>
      <c r="G518">
        <f>F518*0.12</f>
        <v>10429.92</v>
      </c>
      <c r="H518">
        <v>4</v>
      </c>
      <c r="I518" t="str">
        <f>IF(H518&gt;=4,"yes","no")</f>
        <v>yes</v>
      </c>
      <c r="J518" t="str">
        <f>IF(AND(D518&gt;30,H518&gt;=4),"yes","no")</f>
        <v>yes</v>
      </c>
      <c r="K518" t="s">
        <v>23</v>
      </c>
      <c r="L518">
        <v>10</v>
      </c>
    </row>
    <row r="519" spans="1:12" x14ac:dyDescent="0.35">
      <c r="A519">
        <v>1416</v>
      </c>
      <c r="B519" t="s">
        <v>433</v>
      </c>
      <c r="C519" t="s">
        <v>13</v>
      </c>
      <c r="D519">
        <v>57</v>
      </c>
      <c r="E519" s="2">
        <v>42420</v>
      </c>
      <c r="F519">
        <v>86788</v>
      </c>
      <c r="G519">
        <f>F519*0.12</f>
        <v>10414.56</v>
      </c>
      <c r="H519">
        <v>4</v>
      </c>
      <c r="I519" t="str">
        <f>IF(H519&gt;=4,"yes","no")</f>
        <v>yes</v>
      </c>
      <c r="J519" t="str">
        <f>IF(AND(D519&gt;30,H519&gt;=4),"yes","no")</f>
        <v>yes</v>
      </c>
      <c r="K519" t="s">
        <v>11</v>
      </c>
      <c r="L519">
        <v>7</v>
      </c>
    </row>
    <row r="520" spans="1:12" x14ac:dyDescent="0.35">
      <c r="A520">
        <v>1304</v>
      </c>
      <c r="B520" t="s">
        <v>321</v>
      </c>
      <c r="C520" t="s">
        <v>13</v>
      </c>
      <c r="D520">
        <v>55</v>
      </c>
      <c r="E520" s="2">
        <v>42308</v>
      </c>
      <c r="F520">
        <v>85461</v>
      </c>
      <c r="G520">
        <f>F520*0.12</f>
        <v>10255.32</v>
      </c>
      <c r="H520">
        <v>3</v>
      </c>
      <c r="I520" t="str">
        <f>IF(H520&gt;=4,"yes","no")</f>
        <v>no</v>
      </c>
      <c r="J520" t="str">
        <f>IF(AND(D520&gt;30,H520&gt;=4),"yes","no")</f>
        <v>no</v>
      </c>
      <c r="K520" t="s">
        <v>17</v>
      </c>
      <c r="L520">
        <v>5</v>
      </c>
    </row>
    <row r="521" spans="1:12" x14ac:dyDescent="0.35">
      <c r="A521">
        <v>1240</v>
      </c>
      <c r="B521" t="s">
        <v>257</v>
      </c>
      <c r="C521" t="s">
        <v>13</v>
      </c>
      <c r="D521">
        <v>52</v>
      </c>
      <c r="E521" s="2">
        <v>42244</v>
      </c>
      <c r="F521">
        <v>83762</v>
      </c>
      <c r="G521">
        <f>F521*0.12</f>
        <v>10051.44</v>
      </c>
      <c r="H521">
        <v>4</v>
      </c>
      <c r="I521" t="str">
        <f>IF(H521&gt;=4,"yes","no")</f>
        <v>yes</v>
      </c>
      <c r="J521" t="str">
        <f>IF(AND(D521&gt;30,H521&gt;=4),"yes","no")</f>
        <v>yes</v>
      </c>
      <c r="K521" t="s">
        <v>23</v>
      </c>
      <c r="L521">
        <v>0</v>
      </c>
    </row>
    <row r="522" spans="1:12" x14ac:dyDescent="0.35">
      <c r="A522">
        <v>1106</v>
      </c>
      <c r="B522" t="s">
        <v>123</v>
      </c>
      <c r="C522" t="s">
        <v>13</v>
      </c>
      <c r="D522">
        <v>58</v>
      </c>
      <c r="E522" s="2">
        <v>42110</v>
      </c>
      <c r="F522">
        <v>82132</v>
      </c>
      <c r="G522">
        <f>F522*0.12</f>
        <v>9855.84</v>
      </c>
      <c r="H522">
        <v>3</v>
      </c>
      <c r="I522" t="str">
        <f>IF(H522&gt;=4,"yes","no")</f>
        <v>no</v>
      </c>
      <c r="J522" t="str">
        <f>IF(AND(D522&gt;30,H522&gt;=4),"yes","no")</f>
        <v>no</v>
      </c>
      <c r="K522" t="s">
        <v>17</v>
      </c>
      <c r="L522">
        <v>14</v>
      </c>
    </row>
    <row r="523" spans="1:12" x14ac:dyDescent="0.35">
      <c r="A523">
        <v>1479</v>
      </c>
      <c r="B523" t="s">
        <v>496</v>
      </c>
      <c r="C523" t="s">
        <v>13</v>
      </c>
      <c r="D523">
        <v>24</v>
      </c>
      <c r="E523" s="2">
        <v>42483</v>
      </c>
      <c r="F523">
        <v>81985</v>
      </c>
      <c r="G523">
        <f>F523*0.12</f>
        <v>9838.1999999999989</v>
      </c>
      <c r="H523">
        <v>2</v>
      </c>
      <c r="I523" t="str">
        <f>IF(H523&gt;=4,"yes","no")</f>
        <v>no</v>
      </c>
      <c r="J523" t="str">
        <f>IF(AND(D523&gt;30,H523&gt;=4),"yes","no")</f>
        <v>no</v>
      </c>
      <c r="K523" t="s">
        <v>14</v>
      </c>
      <c r="L523">
        <v>9</v>
      </c>
    </row>
    <row r="524" spans="1:12" hidden="1" x14ac:dyDescent="0.35">
      <c r="A524">
        <v>1002</v>
      </c>
      <c r="B524" t="s">
        <v>12</v>
      </c>
      <c r="C524" t="s">
        <v>13</v>
      </c>
      <c r="D524">
        <v>58</v>
      </c>
      <c r="E524" s="2">
        <v>42006</v>
      </c>
      <c r="F524">
        <v>78302</v>
      </c>
      <c r="G524">
        <f>F524*0.12</f>
        <v>9396.24</v>
      </c>
      <c r="H524">
        <v>4</v>
      </c>
      <c r="I524" t="str">
        <f>IF(H524&gt;=4,"yes","no")</f>
        <v>yes</v>
      </c>
      <c r="J524" t="str">
        <f>IF(AND(D524&gt;30,H524&gt;=4),"yes","no")</f>
        <v>yes</v>
      </c>
      <c r="K524" t="s">
        <v>14</v>
      </c>
      <c r="L524">
        <v>24</v>
      </c>
    </row>
    <row r="525" spans="1:12" hidden="1" x14ac:dyDescent="0.35">
      <c r="A525">
        <v>1382</v>
      </c>
      <c r="B525" t="s">
        <v>399</v>
      </c>
      <c r="C525" t="s">
        <v>13</v>
      </c>
      <c r="D525">
        <v>48</v>
      </c>
      <c r="E525" s="2">
        <v>42386</v>
      </c>
      <c r="F525">
        <v>78268</v>
      </c>
      <c r="G525">
        <f>F525*0.12</f>
        <v>9392.16</v>
      </c>
      <c r="H525">
        <v>4</v>
      </c>
      <c r="I525" t="str">
        <f>IF(H525&gt;=4,"yes","no")</f>
        <v>yes</v>
      </c>
      <c r="J525" t="str">
        <f>IF(AND(D525&gt;30,H525&gt;=4),"yes","no")</f>
        <v>yes</v>
      </c>
      <c r="K525" t="s">
        <v>14</v>
      </c>
      <c r="L525">
        <v>16</v>
      </c>
    </row>
    <row r="526" spans="1:12" hidden="1" x14ac:dyDescent="0.35">
      <c r="A526">
        <v>1454</v>
      </c>
      <c r="B526" t="s">
        <v>471</v>
      </c>
      <c r="C526" t="s">
        <v>13</v>
      </c>
      <c r="D526">
        <v>28</v>
      </c>
      <c r="E526" s="2">
        <v>42458</v>
      </c>
      <c r="F526">
        <v>77648</v>
      </c>
      <c r="G526">
        <f>F526*0.12</f>
        <v>9317.76</v>
      </c>
      <c r="H526">
        <v>4</v>
      </c>
      <c r="I526" t="str">
        <f>IF(H526&gt;=4,"yes","no")</f>
        <v>yes</v>
      </c>
      <c r="J526" t="str">
        <f>IF(AND(D526&gt;30,H526&gt;=4),"yes","no")</f>
        <v>no</v>
      </c>
      <c r="K526" t="s">
        <v>14</v>
      </c>
      <c r="L526">
        <v>22</v>
      </c>
    </row>
    <row r="527" spans="1:12" hidden="1" x14ac:dyDescent="0.35">
      <c r="A527">
        <v>1529</v>
      </c>
      <c r="B527" t="s">
        <v>546</v>
      </c>
      <c r="C527" t="s">
        <v>13</v>
      </c>
      <c r="D527">
        <v>41</v>
      </c>
      <c r="E527" s="2">
        <v>42533</v>
      </c>
      <c r="F527">
        <v>77579</v>
      </c>
      <c r="G527">
        <f>F527*0.12</f>
        <v>9309.48</v>
      </c>
      <c r="H527">
        <v>3</v>
      </c>
      <c r="I527" t="str">
        <f>IF(H527&gt;=4,"yes","no")</f>
        <v>no</v>
      </c>
      <c r="J527" t="str">
        <f>IF(AND(D527&gt;30,H527&gt;=4),"yes","no")</f>
        <v>no</v>
      </c>
      <c r="K527" t="s">
        <v>17</v>
      </c>
      <c r="L527">
        <v>4</v>
      </c>
    </row>
    <row r="528" spans="1:12" hidden="1" x14ac:dyDescent="0.35">
      <c r="A528">
        <v>1127</v>
      </c>
      <c r="B528" t="s">
        <v>144</v>
      </c>
      <c r="C528" t="s">
        <v>13</v>
      </c>
      <c r="D528">
        <v>50</v>
      </c>
      <c r="E528" s="2">
        <v>42131</v>
      </c>
      <c r="F528">
        <v>77393</v>
      </c>
      <c r="G528">
        <f>F528*0.12</f>
        <v>9287.16</v>
      </c>
      <c r="H528">
        <v>4</v>
      </c>
      <c r="I528" t="str">
        <f>IF(H528&gt;=4,"yes","no")</f>
        <v>yes</v>
      </c>
      <c r="J528" t="str">
        <f>IF(AND(D528&gt;30,H528&gt;=4),"yes","no")</f>
        <v>yes</v>
      </c>
      <c r="K528" t="s">
        <v>17</v>
      </c>
      <c r="L528">
        <v>4</v>
      </c>
    </row>
    <row r="529" spans="1:12" hidden="1" x14ac:dyDescent="0.35">
      <c r="A529">
        <v>1463</v>
      </c>
      <c r="B529" t="s">
        <v>480</v>
      </c>
      <c r="C529" t="s">
        <v>13</v>
      </c>
      <c r="D529">
        <v>50</v>
      </c>
      <c r="E529" s="2">
        <v>42467</v>
      </c>
      <c r="F529">
        <v>77269</v>
      </c>
      <c r="G529">
        <f>F529*0.12</f>
        <v>9272.2799999999988</v>
      </c>
      <c r="H529">
        <v>3</v>
      </c>
      <c r="I529" t="str">
        <f>IF(H529&gt;=4,"yes","no")</f>
        <v>no</v>
      </c>
      <c r="J529" t="str">
        <f>IF(AND(D529&gt;30,H529&gt;=4),"yes","no")</f>
        <v>no</v>
      </c>
      <c r="K529" t="s">
        <v>11</v>
      </c>
      <c r="L529">
        <v>8</v>
      </c>
    </row>
    <row r="530" spans="1:12" hidden="1" x14ac:dyDescent="0.35">
      <c r="A530">
        <v>1492</v>
      </c>
      <c r="B530" t="s">
        <v>509</v>
      </c>
      <c r="C530" t="s">
        <v>13</v>
      </c>
      <c r="D530">
        <v>22</v>
      </c>
      <c r="E530" s="2">
        <v>42496</v>
      </c>
      <c r="F530">
        <v>76047</v>
      </c>
      <c r="G530">
        <f>F530*0.12</f>
        <v>9125.64</v>
      </c>
      <c r="H530">
        <v>3</v>
      </c>
      <c r="I530" t="str">
        <f>IF(H530&gt;=4,"yes","no")</f>
        <v>no</v>
      </c>
      <c r="J530" t="str">
        <f>IF(AND(D530&gt;30,H530&gt;=4),"yes","no")</f>
        <v>no</v>
      </c>
      <c r="K530" t="s">
        <v>11</v>
      </c>
      <c r="L530">
        <v>23</v>
      </c>
    </row>
    <row r="531" spans="1:12" hidden="1" x14ac:dyDescent="0.35">
      <c r="A531">
        <v>1484</v>
      </c>
      <c r="B531" t="s">
        <v>501</v>
      </c>
      <c r="C531" t="s">
        <v>13</v>
      </c>
      <c r="D531">
        <v>55</v>
      </c>
      <c r="E531" s="2">
        <v>42488</v>
      </c>
      <c r="F531">
        <v>75861</v>
      </c>
      <c r="G531">
        <f>F531*0.12</f>
        <v>9103.32</v>
      </c>
      <c r="H531">
        <v>2</v>
      </c>
      <c r="I531" t="str">
        <f>IF(H531&gt;=4,"yes","no")</f>
        <v>no</v>
      </c>
      <c r="J531" t="str">
        <f>IF(AND(D531&gt;30,H531&gt;=4),"yes","no")</f>
        <v>no</v>
      </c>
      <c r="K531" t="s">
        <v>19</v>
      </c>
      <c r="L531">
        <v>19</v>
      </c>
    </row>
    <row r="532" spans="1:12" hidden="1" x14ac:dyDescent="0.35">
      <c r="A532">
        <v>1599</v>
      </c>
      <c r="B532" t="s">
        <v>616</v>
      </c>
      <c r="C532" t="s">
        <v>13</v>
      </c>
      <c r="D532">
        <v>57</v>
      </c>
      <c r="E532" s="2">
        <v>42603</v>
      </c>
      <c r="F532">
        <v>75677</v>
      </c>
      <c r="G532">
        <f>F532*0.12</f>
        <v>9081.24</v>
      </c>
      <c r="H532">
        <v>4</v>
      </c>
      <c r="I532" t="str">
        <f>IF(H532&gt;=4,"yes","no")</f>
        <v>yes</v>
      </c>
      <c r="J532" t="str">
        <f>IF(AND(D532&gt;30,H532&gt;=4),"yes","no")</f>
        <v>yes</v>
      </c>
      <c r="K532" t="s">
        <v>23</v>
      </c>
      <c r="L532">
        <v>8</v>
      </c>
    </row>
    <row r="533" spans="1:12" hidden="1" x14ac:dyDescent="0.35">
      <c r="A533">
        <v>1480</v>
      </c>
      <c r="B533" t="s">
        <v>497</v>
      </c>
      <c r="C533" t="s">
        <v>13</v>
      </c>
      <c r="D533">
        <v>53</v>
      </c>
      <c r="E533" s="2">
        <v>42484</v>
      </c>
      <c r="F533">
        <v>75069</v>
      </c>
      <c r="G533">
        <f>F533*0.12</f>
        <v>9008.2799999999988</v>
      </c>
      <c r="H533">
        <v>2</v>
      </c>
      <c r="I533" t="str">
        <f>IF(H533&gt;=4,"yes","no")</f>
        <v>no</v>
      </c>
      <c r="J533" t="str">
        <f>IF(AND(D533&gt;30,H533&gt;=4),"yes","no")</f>
        <v>no</v>
      </c>
      <c r="K533" t="s">
        <v>14</v>
      </c>
      <c r="L533">
        <v>3</v>
      </c>
    </row>
    <row r="534" spans="1:12" hidden="1" x14ac:dyDescent="0.35">
      <c r="A534">
        <v>1495</v>
      </c>
      <c r="B534" t="s">
        <v>512</v>
      </c>
      <c r="C534" t="s">
        <v>13</v>
      </c>
      <c r="D534">
        <v>44</v>
      </c>
      <c r="E534" s="2">
        <v>42499</v>
      </c>
      <c r="F534">
        <v>74786</v>
      </c>
      <c r="G534">
        <f>F534*0.12</f>
        <v>8974.32</v>
      </c>
      <c r="H534">
        <v>5</v>
      </c>
      <c r="I534" t="str">
        <f>IF(H534&gt;=4,"yes","no")</f>
        <v>yes</v>
      </c>
      <c r="J534" t="str">
        <f>IF(AND(D534&gt;30,H534&gt;=4),"yes","no")</f>
        <v>yes</v>
      </c>
      <c r="K534" t="s">
        <v>11</v>
      </c>
      <c r="L534">
        <v>29</v>
      </c>
    </row>
    <row r="535" spans="1:12" hidden="1" x14ac:dyDescent="0.35">
      <c r="A535">
        <v>1048</v>
      </c>
      <c r="B535" t="s">
        <v>65</v>
      </c>
      <c r="C535" t="s">
        <v>13</v>
      </c>
      <c r="D535">
        <v>23</v>
      </c>
      <c r="E535" s="2">
        <v>42052</v>
      </c>
      <c r="F535">
        <v>74481</v>
      </c>
      <c r="G535">
        <f>F535*0.12</f>
        <v>8937.7199999999993</v>
      </c>
      <c r="H535">
        <v>2</v>
      </c>
      <c r="I535" t="str">
        <f>IF(H535&gt;=4,"yes","no")</f>
        <v>no</v>
      </c>
      <c r="J535" t="str">
        <f>IF(AND(D535&gt;30,H535&gt;=4),"yes","no")</f>
        <v>no</v>
      </c>
      <c r="K535" t="s">
        <v>19</v>
      </c>
      <c r="L535">
        <v>8</v>
      </c>
    </row>
    <row r="536" spans="1:12" hidden="1" x14ac:dyDescent="0.35">
      <c r="A536">
        <v>1286</v>
      </c>
      <c r="B536" t="s">
        <v>303</v>
      </c>
      <c r="C536" t="s">
        <v>13</v>
      </c>
      <c r="D536">
        <v>23</v>
      </c>
      <c r="E536" s="2">
        <v>42290</v>
      </c>
      <c r="F536">
        <v>74138</v>
      </c>
      <c r="G536">
        <f>F536*0.12</f>
        <v>8896.56</v>
      </c>
      <c r="H536">
        <v>5</v>
      </c>
      <c r="I536" t="str">
        <f>IF(H536&gt;=4,"yes","no")</f>
        <v>yes</v>
      </c>
      <c r="J536" t="str">
        <f>IF(AND(D536&gt;30,H536&gt;=4),"yes","no")</f>
        <v>no</v>
      </c>
      <c r="K536" t="s">
        <v>23</v>
      </c>
      <c r="L536">
        <v>27</v>
      </c>
    </row>
    <row r="537" spans="1:12" hidden="1" x14ac:dyDescent="0.35">
      <c r="A537">
        <v>1282</v>
      </c>
      <c r="B537" t="s">
        <v>299</v>
      </c>
      <c r="C537" t="s">
        <v>13</v>
      </c>
      <c r="D537">
        <v>44</v>
      </c>
      <c r="E537" s="2">
        <v>42286</v>
      </c>
      <c r="F537">
        <v>73874</v>
      </c>
      <c r="G537">
        <f>F537*0.12</f>
        <v>8864.8799999999992</v>
      </c>
      <c r="H537">
        <v>3</v>
      </c>
      <c r="I537" t="str">
        <f>IF(H537&gt;=4,"yes","no")</f>
        <v>no</v>
      </c>
      <c r="J537" t="str">
        <f>IF(AND(D537&gt;30,H537&gt;=4),"yes","no")</f>
        <v>no</v>
      </c>
      <c r="K537" t="s">
        <v>11</v>
      </c>
      <c r="L537">
        <v>20</v>
      </c>
    </row>
    <row r="538" spans="1:12" hidden="1" x14ac:dyDescent="0.35">
      <c r="A538">
        <v>1297</v>
      </c>
      <c r="B538" t="s">
        <v>314</v>
      </c>
      <c r="C538" t="s">
        <v>13</v>
      </c>
      <c r="D538">
        <v>56</v>
      </c>
      <c r="E538" s="2">
        <v>42301</v>
      </c>
      <c r="F538">
        <v>73845</v>
      </c>
      <c r="G538">
        <f>F538*0.12</f>
        <v>8861.4</v>
      </c>
      <c r="H538">
        <v>5</v>
      </c>
      <c r="I538" t="str">
        <f>IF(H538&gt;=4,"yes","no")</f>
        <v>yes</v>
      </c>
      <c r="J538" t="str">
        <f>IF(AND(D538&gt;30,H538&gt;=4),"yes","no")</f>
        <v>yes</v>
      </c>
      <c r="K538" t="s">
        <v>19</v>
      </c>
      <c r="L538">
        <v>18</v>
      </c>
    </row>
    <row r="539" spans="1:12" hidden="1" x14ac:dyDescent="0.35">
      <c r="A539">
        <v>1132</v>
      </c>
      <c r="B539" t="s">
        <v>149</v>
      </c>
      <c r="C539" t="s">
        <v>13</v>
      </c>
      <c r="D539">
        <v>38</v>
      </c>
      <c r="E539" s="2">
        <v>42136</v>
      </c>
      <c r="F539">
        <v>73543</v>
      </c>
      <c r="G539">
        <f>F539*0.12</f>
        <v>8825.16</v>
      </c>
      <c r="H539">
        <v>1</v>
      </c>
      <c r="I539" t="str">
        <f>IF(H539&gt;=4,"yes","no")</f>
        <v>no</v>
      </c>
      <c r="J539" t="str">
        <f>IF(AND(D539&gt;30,H539&gt;=4),"yes","no")</f>
        <v>no</v>
      </c>
      <c r="K539" t="s">
        <v>19</v>
      </c>
      <c r="L539">
        <v>19</v>
      </c>
    </row>
    <row r="540" spans="1:12" hidden="1" x14ac:dyDescent="0.35">
      <c r="A540">
        <v>1396</v>
      </c>
      <c r="B540" t="s">
        <v>413</v>
      </c>
      <c r="C540" t="s">
        <v>13</v>
      </c>
      <c r="D540">
        <v>46</v>
      </c>
      <c r="E540" s="2">
        <v>42400</v>
      </c>
      <c r="F540">
        <v>73290</v>
      </c>
      <c r="G540">
        <f>F540*0.12</f>
        <v>8794.7999999999993</v>
      </c>
      <c r="H540">
        <v>1</v>
      </c>
      <c r="I540" t="str">
        <f>IF(H540&gt;=4,"yes","no")</f>
        <v>no</v>
      </c>
      <c r="J540" t="str">
        <f>IF(AND(D540&gt;30,H540&gt;=4),"yes","no")</f>
        <v>no</v>
      </c>
      <c r="K540" t="s">
        <v>11</v>
      </c>
      <c r="L540">
        <v>7</v>
      </c>
    </row>
    <row r="541" spans="1:12" hidden="1" x14ac:dyDescent="0.35">
      <c r="A541">
        <v>1556</v>
      </c>
      <c r="B541" t="s">
        <v>573</v>
      </c>
      <c r="C541" t="s">
        <v>13</v>
      </c>
      <c r="D541">
        <v>30</v>
      </c>
      <c r="E541" s="2">
        <v>42560</v>
      </c>
      <c r="F541">
        <v>72908</v>
      </c>
      <c r="G541">
        <f>F541*0.12</f>
        <v>8748.9599999999991</v>
      </c>
      <c r="H541">
        <v>4</v>
      </c>
      <c r="I541" t="str">
        <f>IF(H541&gt;=4,"yes","no")</f>
        <v>yes</v>
      </c>
      <c r="J541" t="str">
        <f>IF(AND(D541&gt;30,H541&gt;=4),"yes","no")</f>
        <v>no</v>
      </c>
      <c r="K541" t="s">
        <v>11</v>
      </c>
      <c r="L541">
        <v>4</v>
      </c>
    </row>
    <row r="542" spans="1:12" hidden="1" x14ac:dyDescent="0.35">
      <c r="A542">
        <v>1288</v>
      </c>
      <c r="B542" t="s">
        <v>305</v>
      </c>
      <c r="C542" t="s">
        <v>13</v>
      </c>
      <c r="D542">
        <v>22</v>
      </c>
      <c r="E542" s="2">
        <v>42292</v>
      </c>
      <c r="F542">
        <v>72638</v>
      </c>
      <c r="G542">
        <f>F542*0.12</f>
        <v>8716.56</v>
      </c>
      <c r="H542">
        <v>5</v>
      </c>
      <c r="I542" t="str">
        <f>IF(H542&gt;=4,"yes","no")</f>
        <v>yes</v>
      </c>
      <c r="J542" t="str">
        <f>IF(AND(D542&gt;30,H542&gt;=4),"yes","no")</f>
        <v>no</v>
      </c>
      <c r="K542" t="s">
        <v>23</v>
      </c>
      <c r="L542">
        <v>16</v>
      </c>
    </row>
    <row r="543" spans="1:12" hidden="1" x14ac:dyDescent="0.35">
      <c r="A543">
        <v>1509</v>
      </c>
      <c r="B543" t="s">
        <v>526</v>
      </c>
      <c r="C543" t="s">
        <v>13</v>
      </c>
      <c r="D543">
        <v>25</v>
      </c>
      <c r="E543" s="2">
        <v>42513</v>
      </c>
      <c r="F543">
        <v>71163</v>
      </c>
      <c r="G543">
        <f>F543*0.12</f>
        <v>8539.56</v>
      </c>
      <c r="H543">
        <v>2</v>
      </c>
      <c r="I543" t="str">
        <f>IF(H543&gt;=4,"yes","no")</f>
        <v>no</v>
      </c>
      <c r="J543" t="str">
        <f>IF(AND(D543&gt;30,H543&gt;=4),"yes","no")</f>
        <v>no</v>
      </c>
      <c r="K543" t="s">
        <v>11</v>
      </c>
      <c r="L543">
        <v>10</v>
      </c>
    </row>
    <row r="544" spans="1:12" hidden="1" x14ac:dyDescent="0.35">
      <c r="A544">
        <v>1476</v>
      </c>
      <c r="B544" t="s">
        <v>493</v>
      </c>
      <c r="C544" t="s">
        <v>13</v>
      </c>
      <c r="D544">
        <v>22</v>
      </c>
      <c r="E544" s="2">
        <v>42480</v>
      </c>
      <c r="F544">
        <v>70004</v>
      </c>
      <c r="G544">
        <f>F544*0.12</f>
        <v>8400.48</v>
      </c>
      <c r="H544">
        <v>1</v>
      </c>
      <c r="I544" t="str">
        <f>IF(H544&gt;=4,"yes","no")</f>
        <v>no</v>
      </c>
      <c r="J544" t="str">
        <f>IF(AND(D544&gt;30,H544&gt;=4),"yes","no")</f>
        <v>no</v>
      </c>
      <c r="K544" t="s">
        <v>19</v>
      </c>
      <c r="L544">
        <v>22</v>
      </c>
    </row>
    <row r="545" spans="1:12" hidden="1" x14ac:dyDescent="0.35">
      <c r="A545">
        <v>1596</v>
      </c>
      <c r="B545" t="s">
        <v>613</v>
      </c>
      <c r="C545" t="s">
        <v>13</v>
      </c>
      <c r="D545">
        <v>42</v>
      </c>
      <c r="E545" s="2">
        <v>42600</v>
      </c>
      <c r="F545">
        <v>69965</v>
      </c>
      <c r="G545">
        <f>F545*0.12</f>
        <v>8395.7999999999993</v>
      </c>
      <c r="H545">
        <v>2</v>
      </c>
      <c r="I545" t="str">
        <f>IF(H545&gt;=4,"yes","no")</f>
        <v>no</v>
      </c>
      <c r="J545" t="str">
        <f>IF(AND(D545&gt;30,H545&gt;=4),"yes","no")</f>
        <v>no</v>
      </c>
      <c r="K545" t="s">
        <v>11</v>
      </c>
      <c r="L545">
        <v>15</v>
      </c>
    </row>
    <row r="546" spans="1:12" hidden="1" x14ac:dyDescent="0.35">
      <c r="A546">
        <v>1081</v>
      </c>
      <c r="B546" t="s">
        <v>98</v>
      </c>
      <c r="C546" t="s">
        <v>13</v>
      </c>
      <c r="D546">
        <v>40</v>
      </c>
      <c r="E546" s="2">
        <v>42085</v>
      </c>
      <c r="F546">
        <v>69813</v>
      </c>
      <c r="G546">
        <f>F546*0.12</f>
        <v>8377.56</v>
      </c>
      <c r="H546">
        <v>4</v>
      </c>
      <c r="I546" t="str">
        <f>IF(H546&gt;=4,"yes","no")</f>
        <v>yes</v>
      </c>
      <c r="J546" t="str">
        <f>IF(AND(D546&gt;30,H546&gt;=4),"yes","no")</f>
        <v>yes</v>
      </c>
      <c r="K546" t="s">
        <v>11</v>
      </c>
      <c r="L546">
        <v>22</v>
      </c>
    </row>
    <row r="547" spans="1:12" hidden="1" x14ac:dyDescent="0.35">
      <c r="A547">
        <v>1054</v>
      </c>
      <c r="B547" t="s">
        <v>71</v>
      </c>
      <c r="C547" t="s">
        <v>13</v>
      </c>
      <c r="D547">
        <v>39</v>
      </c>
      <c r="E547" s="2">
        <v>42058</v>
      </c>
      <c r="F547">
        <v>69623</v>
      </c>
      <c r="G547">
        <f>F547*0.12</f>
        <v>8354.76</v>
      </c>
      <c r="H547">
        <v>5</v>
      </c>
      <c r="I547" t="str">
        <f>IF(H547&gt;=4,"yes","no")</f>
        <v>yes</v>
      </c>
      <c r="J547" t="str">
        <f>IF(AND(D547&gt;30,H547&gt;=4),"yes","no")</f>
        <v>yes</v>
      </c>
      <c r="K547" t="s">
        <v>19</v>
      </c>
      <c r="L547">
        <v>5</v>
      </c>
    </row>
    <row r="548" spans="1:12" hidden="1" x14ac:dyDescent="0.35">
      <c r="A548">
        <v>1358</v>
      </c>
      <c r="B548" t="s">
        <v>375</v>
      </c>
      <c r="C548" t="s">
        <v>13</v>
      </c>
      <c r="D548">
        <v>43</v>
      </c>
      <c r="E548" s="2">
        <v>42362</v>
      </c>
      <c r="F548">
        <v>69569</v>
      </c>
      <c r="G548">
        <f>F548*0.12</f>
        <v>8348.2799999999988</v>
      </c>
      <c r="H548">
        <v>3</v>
      </c>
      <c r="I548" t="str">
        <f>IF(H548&gt;=4,"yes","no")</f>
        <v>no</v>
      </c>
      <c r="J548" t="str">
        <f>IF(AND(D548&gt;30,H548&gt;=4),"yes","no")</f>
        <v>no</v>
      </c>
      <c r="K548" t="s">
        <v>11</v>
      </c>
      <c r="L548">
        <v>21</v>
      </c>
    </row>
    <row r="549" spans="1:12" hidden="1" x14ac:dyDescent="0.35">
      <c r="A549">
        <v>1113</v>
      </c>
      <c r="B549" t="s">
        <v>130</v>
      </c>
      <c r="C549" t="s">
        <v>13</v>
      </c>
      <c r="D549">
        <v>59</v>
      </c>
      <c r="E549" s="2">
        <v>42117</v>
      </c>
      <c r="F549">
        <v>65998</v>
      </c>
      <c r="G549">
        <f>F549*0.12</f>
        <v>7919.7599999999993</v>
      </c>
      <c r="H549">
        <v>2</v>
      </c>
      <c r="I549" t="str">
        <f>IF(H549&gt;=4,"yes","no")</f>
        <v>no</v>
      </c>
      <c r="J549" t="str">
        <f>IF(AND(D549&gt;30,H549&gt;=4),"yes","no")</f>
        <v>no</v>
      </c>
      <c r="K549" t="s">
        <v>14</v>
      </c>
      <c r="L549">
        <v>26</v>
      </c>
    </row>
    <row r="550" spans="1:12" hidden="1" x14ac:dyDescent="0.35">
      <c r="A550">
        <v>1163</v>
      </c>
      <c r="B550" t="s">
        <v>180</v>
      </c>
      <c r="C550" t="s">
        <v>13</v>
      </c>
      <c r="D550">
        <v>27</v>
      </c>
      <c r="E550" s="2">
        <v>42167</v>
      </c>
      <c r="F550">
        <v>65600</v>
      </c>
      <c r="G550">
        <f>F550*0.12</f>
        <v>7872</v>
      </c>
      <c r="H550">
        <v>5</v>
      </c>
      <c r="I550" t="str">
        <f>IF(H550&gt;=4,"yes","no")</f>
        <v>yes</v>
      </c>
      <c r="J550" t="str">
        <f>IF(AND(D550&gt;30,H550&gt;=4),"yes","no")</f>
        <v>no</v>
      </c>
      <c r="K550" t="s">
        <v>11</v>
      </c>
      <c r="L550">
        <v>23</v>
      </c>
    </row>
    <row r="551" spans="1:12" hidden="1" x14ac:dyDescent="0.35">
      <c r="A551">
        <v>1406</v>
      </c>
      <c r="B551" t="s">
        <v>423</v>
      </c>
      <c r="C551" t="s">
        <v>13</v>
      </c>
      <c r="D551">
        <v>30</v>
      </c>
      <c r="E551" s="2">
        <v>42410</v>
      </c>
      <c r="F551">
        <v>64341</v>
      </c>
      <c r="G551">
        <f>F551*0.12</f>
        <v>7720.92</v>
      </c>
      <c r="H551">
        <v>1</v>
      </c>
      <c r="I551" t="str">
        <f>IF(H551&gt;=4,"yes","no")</f>
        <v>no</v>
      </c>
      <c r="J551" t="str">
        <f>IF(AND(D551&gt;30,H551&gt;=4),"yes","no")</f>
        <v>no</v>
      </c>
      <c r="K551" t="s">
        <v>17</v>
      </c>
      <c r="L551">
        <v>22</v>
      </c>
    </row>
    <row r="552" spans="1:12" hidden="1" x14ac:dyDescent="0.35">
      <c r="A552">
        <v>1072</v>
      </c>
      <c r="B552" t="s">
        <v>89</v>
      </c>
      <c r="C552" t="s">
        <v>13</v>
      </c>
      <c r="D552">
        <v>52</v>
      </c>
      <c r="E552" s="2">
        <v>42076</v>
      </c>
      <c r="F552">
        <v>62641</v>
      </c>
      <c r="G552">
        <f>F552*0.12</f>
        <v>7516.92</v>
      </c>
      <c r="H552">
        <v>1</v>
      </c>
      <c r="I552" t="str">
        <f>IF(H552&gt;=4,"yes","no")</f>
        <v>no</v>
      </c>
      <c r="J552" t="str">
        <f>IF(AND(D552&gt;30,H552&gt;=4),"yes","no")</f>
        <v>no</v>
      </c>
      <c r="K552" t="s">
        <v>11</v>
      </c>
      <c r="L552">
        <v>22</v>
      </c>
    </row>
    <row r="553" spans="1:12" hidden="1" x14ac:dyDescent="0.35">
      <c r="A553">
        <v>1518</v>
      </c>
      <c r="B553" t="s">
        <v>535</v>
      </c>
      <c r="C553" t="s">
        <v>13</v>
      </c>
      <c r="D553">
        <v>54</v>
      </c>
      <c r="E553" s="2">
        <v>42522</v>
      </c>
      <c r="F553">
        <v>61877</v>
      </c>
      <c r="G553">
        <f>F553*0.12</f>
        <v>7425.24</v>
      </c>
      <c r="H553">
        <v>4</v>
      </c>
      <c r="I553" t="str">
        <f>IF(H553&gt;=4,"yes","no")</f>
        <v>yes</v>
      </c>
      <c r="J553" t="str">
        <f>IF(AND(D553&gt;30,H553&gt;=4),"yes","no")</f>
        <v>yes</v>
      </c>
      <c r="K553" t="s">
        <v>17</v>
      </c>
      <c r="L553">
        <v>25</v>
      </c>
    </row>
    <row r="554" spans="1:12" hidden="1" x14ac:dyDescent="0.35">
      <c r="A554">
        <v>1598</v>
      </c>
      <c r="B554" t="s">
        <v>615</v>
      </c>
      <c r="C554" t="s">
        <v>13</v>
      </c>
      <c r="D554">
        <v>32</v>
      </c>
      <c r="E554" s="2">
        <v>42602</v>
      </c>
      <c r="F554">
        <v>60133</v>
      </c>
      <c r="G554">
        <f>F554*0.12</f>
        <v>7215.96</v>
      </c>
      <c r="H554">
        <v>2</v>
      </c>
      <c r="I554" t="str">
        <f>IF(H554&gt;=4,"yes","no")</f>
        <v>no</v>
      </c>
      <c r="J554" t="str">
        <f>IF(AND(D554&gt;30,H554&gt;=4),"yes","no")</f>
        <v>no</v>
      </c>
      <c r="K554" t="s">
        <v>14</v>
      </c>
      <c r="L554">
        <v>27</v>
      </c>
    </row>
    <row r="555" spans="1:12" hidden="1" x14ac:dyDescent="0.35">
      <c r="A555">
        <v>1179</v>
      </c>
      <c r="B555" t="s">
        <v>196</v>
      </c>
      <c r="C555" t="s">
        <v>13</v>
      </c>
      <c r="D555">
        <v>22</v>
      </c>
      <c r="E555" s="2">
        <v>42183</v>
      </c>
      <c r="F555">
        <v>59636</v>
      </c>
      <c r="G555">
        <f>F555*0.12</f>
        <v>7156.32</v>
      </c>
      <c r="H555">
        <v>5</v>
      </c>
      <c r="I555" t="str">
        <f>IF(H555&gt;=4,"yes","no")</f>
        <v>yes</v>
      </c>
      <c r="J555" t="str">
        <f>IF(AND(D555&gt;30,H555&gt;=4),"yes","no")</f>
        <v>no</v>
      </c>
      <c r="K555" t="s">
        <v>14</v>
      </c>
      <c r="L555">
        <v>5</v>
      </c>
    </row>
    <row r="556" spans="1:12" hidden="1" x14ac:dyDescent="0.35">
      <c r="A556">
        <v>1593</v>
      </c>
      <c r="B556" t="s">
        <v>610</v>
      </c>
      <c r="C556" t="s">
        <v>13</v>
      </c>
      <c r="D556">
        <v>57</v>
      </c>
      <c r="E556" s="2">
        <v>42597</v>
      </c>
      <c r="F556">
        <v>58142</v>
      </c>
      <c r="G556">
        <f>F556*0.12</f>
        <v>6977.04</v>
      </c>
      <c r="H556">
        <v>1</v>
      </c>
      <c r="I556" t="str">
        <f>IF(H556&gt;=4,"yes","no")</f>
        <v>no</v>
      </c>
      <c r="J556" t="str">
        <f>IF(AND(D556&gt;30,H556&gt;=4),"yes","no")</f>
        <v>no</v>
      </c>
      <c r="K556" t="s">
        <v>14</v>
      </c>
      <c r="L556">
        <v>16</v>
      </c>
    </row>
    <row r="557" spans="1:12" hidden="1" x14ac:dyDescent="0.35">
      <c r="A557">
        <v>1301</v>
      </c>
      <c r="B557" t="s">
        <v>318</v>
      </c>
      <c r="C557" t="s">
        <v>13</v>
      </c>
      <c r="D557">
        <v>35</v>
      </c>
      <c r="E557" s="2">
        <v>42305</v>
      </c>
      <c r="F557">
        <v>58062</v>
      </c>
      <c r="G557">
        <f>F557*0.12</f>
        <v>6967.44</v>
      </c>
      <c r="H557">
        <v>4</v>
      </c>
      <c r="I557" t="str">
        <f>IF(H557&gt;=4,"yes","no")</f>
        <v>yes</v>
      </c>
      <c r="J557" t="str">
        <f>IF(AND(D557&gt;30,H557&gt;=4),"yes","no")</f>
        <v>yes</v>
      </c>
      <c r="K557" t="s">
        <v>17</v>
      </c>
      <c r="L557">
        <v>11</v>
      </c>
    </row>
    <row r="558" spans="1:12" hidden="1" x14ac:dyDescent="0.35">
      <c r="A558">
        <v>1457</v>
      </c>
      <c r="B558" t="s">
        <v>474</v>
      </c>
      <c r="C558" t="s">
        <v>13</v>
      </c>
      <c r="D558">
        <v>34</v>
      </c>
      <c r="E558" s="2">
        <v>42461</v>
      </c>
      <c r="F558">
        <v>57981</v>
      </c>
      <c r="G558">
        <f>F558*0.12</f>
        <v>6957.7199999999993</v>
      </c>
      <c r="H558">
        <v>4</v>
      </c>
      <c r="I558" t="str">
        <f>IF(H558&gt;=4,"yes","no")</f>
        <v>yes</v>
      </c>
      <c r="J558" t="str">
        <f>IF(AND(D558&gt;30,H558&gt;=4),"yes","no")</f>
        <v>yes</v>
      </c>
      <c r="K558" t="s">
        <v>17</v>
      </c>
      <c r="L558">
        <v>28</v>
      </c>
    </row>
    <row r="559" spans="1:12" hidden="1" x14ac:dyDescent="0.35">
      <c r="A559">
        <v>1527</v>
      </c>
      <c r="B559" t="s">
        <v>544</v>
      </c>
      <c r="C559" t="s">
        <v>13</v>
      </c>
      <c r="D559">
        <v>22</v>
      </c>
      <c r="E559" s="2">
        <v>42531</v>
      </c>
      <c r="F559">
        <v>56890</v>
      </c>
      <c r="G559">
        <f>F559*0.12</f>
        <v>6826.8</v>
      </c>
      <c r="H559">
        <v>3</v>
      </c>
      <c r="I559" t="str">
        <f>IF(H559&gt;=4,"yes","no")</f>
        <v>no</v>
      </c>
      <c r="J559" t="str">
        <f>IF(AND(D559&gt;30,H559&gt;=4),"yes","no")</f>
        <v>no</v>
      </c>
      <c r="K559" t="s">
        <v>14</v>
      </c>
      <c r="L559">
        <v>8</v>
      </c>
    </row>
    <row r="560" spans="1:12" hidden="1" x14ac:dyDescent="0.35">
      <c r="A560">
        <v>1073</v>
      </c>
      <c r="B560" t="s">
        <v>90</v>
      </c>
      <c r="C560" t="s">
        <v>13</v>
      </c>
      <c r="D560">
        <v>26</v>
      </c>
      <c r="E560" s="2">
        <v>42077</v>
      </c>
      <c r="F560">
        <v>54711</v>
      </c>
      <c r="G560">
        <f>F560*0.12</f>
        <v>6565.32</v>
      </c>
      <c r="H560">
        <v>2</v>
      </c>
      <c r="I560" t="str">
        <f>IF(H560&gt;=4,"yes","no")</f>
        <v>no</v>
      </c>
      <c r="J560" t="str">
        <f>IF(AND(D560&gt;30,H560&gt;=4),"yes","no")</f>
        <v>no</v>
      </c>
      <c r="K560" t="s">
        <v>19</v>
      </c>
      <c r="L560">
        <v>12</v>
      </c>
    </row>
    <row r="561" spans="1:12" hidden="1" x14ac:dyDescent="0.35">
      <c r="A561">
        <v>1129</v>
      </c>
      <c r="B561" t="s">
        <v>146</v>
      </c>
      <c r="C561" t="s">
        <v>13</v>
      </c>
      <c r="D561">
        <v>31</v>
      </c>
      <c r="E561" s="2">
        <v>42133</v>
      </c>
      <c r="F561">
        <v>54430</v>
      </c>
      <c r="G561">
        <f>F561*0.12</f>
        <v>6531.5999999999995</v>
      </c>
      <c r="H561">
        <v>2</v>
      </c>
      <c r="I561" t="str">
        <f>IF(H561&gt;=4,"yes","no")</f>
        <v>no</v>
      </c>
      <c r="J561" t="str">
        <f>IF(AND(D561&gt;30,H561&gt;=4),"yes","no")</f>
        <v>no</v>
      </c>
      <c r="K561" t="s">
        <v>19</v>
      </c>
      <c r="L561">
        <v>0</v>
      </c>
    </row>
    <row r="562" spans="1:12" hidden="1" x14ac:dyDescent="0.35">
      <c r="A562">
        <v>1576</v>
      </c>
      <c r="B562" t="s">
        <v>593</v>
      </c>
      <c r="C562" t="s">
        <v>13</v>
      </c>
      <c r="D562">
        <v>44</v>
      </c>
      <c r="E562" s="2">
        <v>42580</v>
      </c>
      <c r="F562">
        <v>54426</v>
      </c>
      <c r="G562">
        <f>F562*0.12</f>
        <v>6531.12</v>
      </c>
      <c r="H562">
        <v>2</v>
      </c>
      <c r="I562" t="str">
        <f>IF(H562&gt;=4,"yes","no")</f>
        <v>no</v>
      </c>
      <c r="J562" t="str">
        <f>IF(AND(D562&gt;30,H562&gt;=4),"yes","no")</f>
        <v>no</v>
      </c>
      <c r="K562" t="s">
        <v>11</v>
      </c>
      <c r="L562">
        <v>0</v>
      </c>
    </row>
    <row r="563" spans="1:12" hidden="1" x14ac:dyDescent="0.35">
      <c r="A563">
        <v>1385</v>
      </c>
      <c r="B563" t="s">
        <v>402</v>
      </c>
      <c r="C563" t="s">
        <v>13</v>
      </c>
      <c r="D563">
        <v>32</v>
      </c>
      <c r="E563" s="2">
        <v>42389</v>
      </c>
      <c r="F563">
        <v>53602</v>
      </c>
      <c r="G563">
        <f>F563*0.12</f>
        <v>6432.24</v>
      </c>
      <c r="H563">
        <v>3</v>
      </c>
      <c r="I563" t="str">
        <f>IF(H563&gt;=4,"yes","no")</f>
        <v>no</v>
      </c>
      <c r="J563" t="str">
        <f>IF(AND(D563&gt;30,H563&gt;=4),"yes","no")</f>
        <v>no</v>
      </c>
      <c r="K563" t="s">
        <v>11</v>
      </c>
      <c r="L563">
        <v>29</v>
      </c>
    </row>
    <row r="564" spans="1:12" hidden="1" x14ac:dyDescent="0.35">
      <c r="A564">
        <v>1428</v>
      </c>
      <c r="B564" t="s">
        <v>445</v>
      </c>
      <c r="C564" t="s">
        <v>13</v>
      </c>
      <c r="D564">
        <v>32</v>
      </c>
      <c r="E564" s="2">
        <v>42432</v>
      </c>
      <c r="F564">
        <v>53541</v>
      </c>
      <c r="G564">
        <f>F564*0.12</f>
        <v>6424.92</v>
      </c>
      <c r="H564">
        <v>3</v>
      </c>
      <c r="I564" t="str">
        <f>IF(H564&gt;=4,"yes","no")</f>
        <v>no</v>
      </c>
      <c r="J564" t="str">
        <f>IF(AND(D564&gt;30,H564&gt;=4),"yes","no")</f>
        <v>no</v>
      </c>
      <c r="K564" t="s">
        <v>11</v>
      </c>
      <c r="L564">
        <v>15</v>
      </c>
    </row>
    <row r="565" spans="1:12" hidden="1" x14ac:dyDescent="0.35">
      <c r="A565">
        <v>1586</v>
      </c>
      <c r="B565" t="s">
        <v>603</v>
      </c>
      <c r="C565" t="s">
        <v>13</v>
      </c>
      <c r="D565">
        <v>31</v>
      </c>
      <c r="E565" s="2">
        <v>42590</v>
      </c>
      <c r="F565">
        <v>51723</v>
      </c>
      <c r="G565">
        <f>F565*0.12</f>
        <v>6206.76</v>
      </c>
      <c r="H565">
        <v>4</v>
      </c>
      <c r="I565" t="str">
        <f>IF(H565&gt;=4,"yes","no")</f>
        <v>yes</v>
      </c>
      <c r="J565" t="str">
        <f>IF(AND(D565&gt;30,H565&gt;=4),"yes","no")</f>
        <v>yes</v>
      </c>
      <c r="K565" t="s">
        <v>19</v>
      </c>
      <c r="L565">
        <v>20</v>
      </c>
    </row>
    <row r="566" spans="1:12" hidden="1" x14ac:dyDescent="0.35">
      <c r="A566">
        <v>1442</v>
      </c>
      <c r="B566" t="s">
        <v>459</v>
      </c>
      <c r="C566" t="s">
        <v>13</v>
      </c>
      <c r="D566">
        <v>54</v>
      </c>
      <c r="E566" s="2">
        <v>42446</v>
      </c>
      <c r="F566">
        <v>51589</v>
      </c>
      <c r="G566">
        <f>F566*0.12</f>
        <v>6190.6799999999994</v>
      </c>
      <c r="H566">
        <v>3</v>
      </c>
      <c r="I566" t="str">
        <f>IF(H566&gt;=4,"yes","no")</f>
        <v>no</v>
      </c>
      <c r="J566" t="str">
        <f>IF(AND(D566&gt;30,H566&gt;=4),"yes","no")</f>
        <v>no</v>
      </c>
      <c r="K566" t="s">
        <v>14</v>
      </c>
      <c r="L566">
        <v>12</v>
      </c>
    </row>
    <row r="567" spans="1:12" hidden="1" x14ac:dyDescent="0.35">
      <c r="A567">
        <v>1397</v>
      </c>
      <c r="B567" t="s">
        <v>414</v>
      </c>
      <c r="C567" t="s">
        <v>13</v>
      </c>
      <c r="D567">
        <v>54</v>
      </c>
      <c r="E567" s="2">
        <v>42401</v>
      </c>
      <c r="F567">
        <v>51431</v>
      </c>
      <c r="G567">
        <f>F567*0.12</f>
        <v>6171.7199999999993</v>
      </c>
      <c r="H567">
        <v>5</v>
      </c>
      <c r="I567" t="str">
        <f>IF(H567&gt;=4,"yes","no")</f>
        <v>yes</v>
      </c>
      <c r="J567" t="str">
        <f>IF(AND(D567&gt;30,H567&gt;=4),"yes","no")</f>
        <v>yes</v>
      </c>
      <c r="K567" t="s">
        <v>14</v>
      </c>
      <c r="L567">
        <v>7</v>
      </c>
    </row>
    <row r="568" spans="1:12" hidden="1" x14ac:dyDescent="0.35">
      <c r="A568">
        <v>1360</v>
      </c>
      <c r="B568" t="s">
        <v>377</v>
      </c>
      <c r="C568" t="s">
        <v>13</v>
      </c>
      <c r="D568">
        <v>31</v>
      </c>
      <c r="E568" s="2">
        <v>42364</v>
      </c>
      <c r="F568">
        <v>51029</v>
      </c>
      <c r="G568">
        <f>F568*0.12</f>
        <v>6123.48</v>
      </c>
      <c r="H568">
        <v>1</v>
      </c>
      <c r="I568" t="str">
        <f>IF(H568&gt;=4,"yes","no")</f>
        <v>no</v>
      </c>
      <c r="J568" t="str">
        <f>IF(AND(D568&gt;30,H568&gt;=4),"yes","no")</f>
        <v>no</v>
      </c>
      <c r="K568" t="s">
        <v>11</v>
      </c>
      <c r="L568">
        <v>2</v>
      </c>
    </row>
    <row r="569" spans="1:12" hidden="1" x14ac:dyDescent="0.35">
      <c r="A569">
        <v>1558</v>
      </c>
      <c r="B569" t="s">
        <v>575</v>
      </c>
      <c r="C569" t="s">
        <v>13</v>
      </c>
      <c r="D569">
        <v>25</v>
      </c>
      <c r="E569" s="2">
        <v>42562</v>
      </c>
      <c r="F569">
        <v>50963</v>
      </c>
      <c r="G569">
        <f>F569*0.12</f>
        <v>6115.5599999999995</v>
      </c>
      <c r="H569">
        <v>3</v>
      </c>
      <c r="I569" t="str">
        <f>IF(H569&gt;=4,"yes","no")</f>
        <v>no</v>
      </c>
      <c r="J569" t="str">
        <f>IF(AND(D569&gt;30,H569&gt;=4),"yes","no")</f>
        <v>no</v>
      </c>
      <c r="K569" t="s">
        <v>19</v>
      </c>
      <c r="L569">
        <v>25</v>
      </c>
    </row>
    <row r="570" spans="1:12" hidden="1" x14ac:dyDescent="0.35">
      <c r="A570">
        <v>1158</v>
      </c>
      <c r="B570" t="s">
        <v>175</v>
      </c>
      <c r="C570" t="s">
        <v>13</v>
      </c>
      <c r="D570">
        <v>26</v>
      </c>
      <c r="E570" s="2">
        <v>42162</v>
      </c>
      <c r="F570">
        <v>49951</v>
      </c>
      <c r="G570">
        <f>F570*0.12</f>
        <v>5994.12</v>
      </c>
      <c r="H570">
        <v>3</v>
      </c>
      <c r="I570" t="str">
        <f>IF(H570&gt;=4,"yes","no")</f>
        <v>no</v>
      </c>
      <c r="J570" t="str">
        <f>IF(AND(D570&gt;30,H570&gt;=4),"yes","no")</f>
        <v>no</v>
      </c>
      <c r="K570" t="s">
        <v>23</v>
      </c>
      <c r="L570">
        <v>16</v>
      </c>
    </row>
    <row r="571" spans="1:12" hidden="1" x14ac:dyDescent="0.35">
      <c r="A571">
        <v>1084</v>
      </c>
      <c r="B571" t="s">
        <v>101</v>
      </c>
      <c r="C571" t="s">
        <v>13</v>
      </c>
      <c r="D571">
        <v>35</v>
      </c>
      <c r="E571" s="2">
        <v>42088</v>
      </c>
      <c r="F571">
        <v>49070</v>
      </c>
      <c r="G571">
        <f>F571*0.12</f>
        <v>5888.4</v>
      </c>
      <c r="H571">
        <v>4</v>
      </c>
      <c r="I571" t="str">
        <f>IF(H571&gt;=4,"yes","no")</f>
        <v>yes</v>
      </c>
      <c r="J571" t="str">
        <f>IF(AND(D571&gt;30,H571&gt;=4),"yes","no")</f>
        <v>yes</v>
      </c>
      <c r="K571" t="s">
        <v>23</v>
      </c>
      <c r="L571">
        <v>5</v>
      </c>
    </row>
    <row r="572" spans="1:12" hidden="1" x14ac:dyDescent="0.35">
      <c r="A572">
        <v>1370</v>
      </c>
      <c r="B572" t="s">
        <v>387</v>
      </c>
      <c r="C572" t="s">
        <v>13</v>
      </c>
      <c r="D572">
        <v>50</v>
      </c>
      <c r="E572" s="2">
        <v>42374</v>
      </c>
      <c r="F572">
        <v>48411</v>
      </c>
      <c r="G572">
        <f>F572*0.12</f>
        <v>5809.32</v>
      </c>
      <c r="H572">
        <v>4</v>
      </c>
      <c r="I572" t="str">
        <f>IF(H572&gt;=4,"yes","no")</f>
        <v>yes</v>
      </c>
      <c r="J572" t="str">
        <f>IF(AND(D572&gt;30,H572&gt;=4),"yes","no")</f>
        <v>yes</v>
      </c>
      <c r="K572" t="s">
        <v>17</v>
      </c>
      <c r="L572">
        <v>23</v>
      </c>
    </row>
    <row r="573" spans="1:12" hidden="1" x14ac:dyDescent="0.35">
      <c r="A573">
        <v>1402</v>
      </c>
      <c r="B573" t="s">
        <v>419</v>
      </c>
      <c r="C573" t="s">
        <v>13</v>
      </c>
      <c r="D573">
        <v>58</v>
      </c>
      <c r="E573" s="2">
        <v>42406</v>
      </c>
      <c r="F573">
        <v>48019</v>
      </c>
      <c r="G573">
        <f>F573*0.12</f>
        <v>5762.28</v>
      </c>
      <c r="H573">
        <v>4</v>
      </c>
      <c r="I573" t="str">
        <f>IF(H573&gt;=4,"yes","no")</f>
        <v>yes</v>
      </c>
      <c r="J573" t="str">
        <f>IF(AND(D573&gt;30,H573&gt;=4),"yes","no")</f>
        <v>yes</v>
      </c>
      <c r="K573" t="s">
        <v>14</v>
      </c>
      <c r="L573">
        <v>3</v>
      </c>
    </row>
    <row r="574" spans="1:12" hidden="1" x14ac:dyDescent="0.35">
      <c r="A574">
        <v>1568</v>
      </c>
      <c r="B574" t="s">
        <v>585</v>
      </c>
      <c r="C574" t="s">
        <v>13</v>
      </c>
      <c r="D574">
        <v>57</v>
      </c>
      <c r="E574" s="2">
        <v>42572</v>
      </c>
      <c r="F574">
        <v>47015</v>
      </c>
      <c r="G574">
        <f>F574*0.12</f>
        <v>5641.8</v>
      </c>
      <c r="H574">
        <v>2</v>
      </c>
      <c r="I574" t="str">
        <f>IF(H574&gt;=4,"yes","no")</f>
        <v>no</v>
      </c>
      <c r="J574" t="str">
        <f>IF(AND(D574&gt;30,H574&gt;=4),"yes","no")</f>
        <v>no</v>
      </c>
      <c r="K574" t="s">
        <v>23</v>
      </c>
      <c r="L574">
        <v>9</v>
      </c>
    </row>
    <row r="575" spans="1:12" hidden="1" x14ac:dyDescent="0.35">
      <c r="A575">
        <v>1453</v>
      </c>
      <c r="B575" t="s">
        <v>470</v>
      </c>
      <c r="C575" t="s">
        <v>13</v>
      </c>
      <c r="D575">
        <v>49</v>
      </c>
      <c r="E575" s="2">
        <v>42457</v>
      </c>
      <c r="F575">
        <v>45581</v>
      </c>
      <c r="G575">
        <f>F575*0.12</f>
        <v>5469.7199999999993</v>
      </c>
      <c r="H575">
        <v>4</v>
      </c>
      <c r="I575" t="str">
        <f>IF(H575&gt;=4,"yes","no")</f>
        <v>yes</v>
      </c>
      <c r="J575" t="str">
        <f>IF(AND(D575&gt;30,H575&gt;=4),"yes","no")</f>
        <v>yes</v>
      </c>
      <c r="K575" t="s">
        <v>14</v>
      </c>
      <c r="L575">
        <v>29</v>
      </c>
    </row>
    <row r="576" spans="1:12" hidden="1" x14ac:dyDescent="0.35">
      <c r="A576">
        <v>1393</v>
      </c>
      <c r="B576" t="s">
        <v>410</v>
      </c>
      <c r="C576" t="s">
        <v>13</v>
      </c>
      <c r="D576">
        <v>47</v>
      </c>
      <c r="E576" s="2">
        <v>42397</v>
      </c>
      <c r="F576">
        <v>44982</v>
      </c>
      <c r="G576">
        <f>F576*0.12</f>
        <v>5397.84</v>
      </c>
      <c r="H576">
        <v>2</v>
      </c>
      <c r="I576" t="str">
        <f>IF(H576&gt;=4,"yes","no")</f>
        <v>no</v>
      </c>
      <c r="J576" t="str">
        <f>IF(AND(D576&gt;30,H576&gt;=4),"yes","no")</f>
        <v>no</v>
      </c>
      <c r="K576" t="s">
        <v>17</v>
      </c>
      <c r="L576">
        <v>14</v>
      </c>
    </row>
    <row r="577" spans="1:12" hidden="1" x14ac:dyDescent="0.35">
      <c r="A577">
        <v>1269</v>
      </c>
      <c r="B577" t="s">
        <v>286</v>
      </c>
      <c r="C577" t="s">
        <v>13</v>
      </c>
      <c r="D577">
        <v>22</v>
      </c>
      <c r="E577" s="2">
        <v>42273</v>
      </c>
      <c r="F577">
        <v>44623</v>
      </c>
      <c r="G577">
        <f>F577*0.12</f>
        <v>5354.76</v>
      </c>
      <c r="H577">
        <v>1</v>
      </c>
      <c r="I577" t="str">
        <f>IF(H577&gt;=4,"yes","no")</f>
        <v>no</v>
      </c>
      <c r="J577" t="str">
        <f>IF(AND(D577&gt;30,H577&gt;=4),"yes","no")</f>
        <v>no</v>
      </c>
      <c r="K577" t="s">
        <v>23</v>
      </c>
      <c r="L577">
        <v>4</v>
      </c>
    </row>
    <row r="578" spans="1:12" hidden="1" x14ac:dyDescent="0.35">
      <c r="A578">
        <v>1097</v>
      </c>
      <c r="B578" t="s">
        <v>114</v>
      </c>
      <c r="C578" t="s">
        <v>13</v>
      </c>
      <c r="D578">
        <v>24</v>
      </c>
      <c r="E578" s="2">
        <v>42101</v>
      </c>
      <c r="F578">
        <v>44426</v>
      </c>
      <c r="G578">
        <f>F578*0.12</f>
        <v>5331.12</v>
      </c>
      <c r="H578">
        <v>1</v>
      </c>
      <c r="I578" t="str">
        <f>IF(H578&gt;=4,"yes","no")</f>
        <v>no</v>
      </c>
      <c r="J578" t="str">
        <f>IF(AND(D578&gt;30,H578&gt;=4),"yes","no")</f>
        <v>no</v>
      </c>
      <c r="K578" t="s">
        <v>14</v>
      </c>
      <c r="L578">
        <v>25</v>
      </c>
    </row>
    <row r="579" spans="1:12" hidden="1" x14ac:dyDescent="0.35">
      <c r="A579">
        <v>1296</v>
      </c>
      <c r="B579" t="s">
        <v>313</v>
      </c>
      <c r="C579" t="s">
        <v>13</v>
      </c>
      <c r="D579">
        <v>59</v>
      </c>
      <c r="E579" s="2">
        <v>42300</v>
      </c>
      <c r="F579">
        <v>43787</v>
      </c>
      <c r="G579">
        <f>F579*0.12</f>
        <v>5254.44</v>
      </c>
      <c r="H579">
        <v>4</v>
      </c>
      <c r="I579" t="str">
        <f>IF(H579&gt;=4,"yes","no")</f>
        <v>yes</v>
      </c>
      <c r="J579" t="str">
        <f>IF(AND(D579&gt;30,H579&gt;=4),"yes","no")</f>
        <v>yes</v>
      </c>
      <c r="K579" t="s">
        <v>14</v>
      </c>
      <c r="L579">
        <v>16</v>
      </c>
    </row>
    <row r="580" spans="1:12" hidden="1" x14ac:dyDescent="0.35">
      <c r="A580">
        <v>1207</v>
      </c>
      <c r="B580" t="s">
        <v>224</v>
      </c>
      <c r="C580" t="s">
        <v>13</v>
      </c>
      <c r="D580">
        <v>46</v>
      </c>
      <c r="E580" s="2">
        <v>42211</v>
      </c>
      <c r="F580">
        <v>43297</v>
      </c>
      <c r="G580">
        <f>F580*0.12</f>
        <v>5195.6399999999994</v>
      </c>
      <c r="H580">
        <v>2</v>
      </c>
      <c r="I580" t="str">
        <f>IF(H580&gt;=4,"yes","no")</f>
        <v>no</v>
      </c>
      <c r="J580" t="str">
        <f>IF(AND(D580&gt;30,H580&gt;=4),"yes","no")</f>
        <v>no</v>
      </c>
      <c r="K580" t="s">
        <v>14</v>
      </c>
      <c r="L580">
        <v>16</v>
      </c>
    </row>
    <row r="581" spans="1:12" hidden="1" x14ac:dyDescent="0.35">
      <c r="A581">
        <v>1013</v>
      </c>
      <c r="B581" t="s">
        <v>29</v>
      </c>
      <c r="C581" t="s">
        <v>13</v>
      </c>
      <c r="D581">
        <v>37</v>
      </c>
      <c r="E581" s="2">
        <v>42017</v>
      </c>
      <c r="F581">
        <v>40850</v>
      </c>
      <c r="G581">
        <f>F581*0.12</f>
        <v>4902</v>
      </c>
      <c r="H581">
        <v>1</v>
      </c>
      <c r="I581" t="str">
        <f>IF(H581&gt;=4,"yes","no")</f>
        <v>no</v>
      </c>
      <c r="J581" t="str">
        <f>IF(AND(D581&gt;30,H581&gt;=4),"yes","no")</f>
        <v>no</v>
      </c>
      <c r="K581" t="s">
        <v>11</v>
      </c>
      <c r="L581">
        <v>17</v>
      </c>
    </row>
    <row r="582" spans="1:12" hidden="1" x14ac:dyDescent="0.35">
      <c r="A582">
        <v>1519</v>
      </c>
      <c r="B582" t="s">
        <v>536</v>
      </c>
      <c r="C582" t="s">
        <v>13</v>
      </c>
      <c r="D582">
        <v>44</v>
      </c>
      <c r="E582" s="2">
        <v>42523</v>
      </c>
      <c r="F582">
        <v>40313</v>
      </c>
      <c r="G582">
        <f>F582*0.12</f>
        <v>4837.5599999999995</v>
      </c>
      <c r="H582">
        <v>5</v>
      </c>
      <c r="I582" t="str">
        <f>IF(H582&gt;=4,"yes","no")</f>
        <v>yes</v>
      </c>
      <c r="J582" t="str">
        <f>IF(AND(D582&gt;30,H582&gt;=4),"yes","no")</f>
        <v>yes</v>
      </c>
      <c r="K582" t="s">
        <v>14</v>
      </c>
      <c r="L582">
        <v>17</v>
      </c>
    </row>
    <row r="583" spans="1:12" hidden="1" x14ac:dyDescent="0.35">
      <c r="A583">
        <v>1022</v>
      </c>
      <c r="B583" t="s">
        <v>39</v>
      </c>
      <c r="C583" t="s">
        <v>13</v>
      </c>
      <c r="D583">
        <v>33</v>
      </c>
      <c r="E583" s="2">
        <v>42026</v>
      </c>
      <c r="F583">
        <v>40048</v>
      </c>
      <c r="G583">
        <f>F583*0.12</f>
        <v>4805.76</v>
      </c>
      <c r="H583">
        <v>2</v>
      </c>
      <c r="I583" t="str">
        <f>IF(H583&gt;=4,"yes","no")</f>
        <v>no</v>
      </c>
      <c r="J583" t="str">
        <f>IF(AND(D583&gt;30,H583&gt;=4),"yes","no")</f>
        <v>no</v>
      </c>
      <c r="K583" t="s">
        <v>23</v>
      </c>
      <c r="L583">
        <v>18</v>
      </c>
    </row>
    <row r="584" spans="1:12" hidden="1" x14ac:dyDescent="0.35">
      <c r="A584">
        <v>1328</v>
      </c>
      <c r="B584" t="s">
        <v>345</v>
      </c>
      <c r="C584" t="s">
        <v>13</v>
      </c>
      <c r="D584">
        <v>35</v>
      </c>
      <c r="E584" s="2">
        <v>42332</v>
      </c>
      <c r="F584">
        <v>38507</v>
      </c>
      <c r="G584">
        <f>F584*0.12</f>
        <v>4620.84</v>
      </c>
      <c r="H584">
        <v>4</v>
      </c>
      <c r="I584" t="str">
        <f>IF(H584&gt;=4,"yes","no")</f>
        <v>yes</v>
      </c>
      <c r="J584" t="str">
        <f>IF(AND(D584&gt;30,H584&gt;=4),"yes","no")</f>
        <v>yes</v>
      </c>
      <c r="K584" t="s">
        <v>19</v>
      </c>
      <c r="L584">
        <v>14</v>
      </c>
    </row>
    <row r="585" spans="1:12" hidden="1" x14ac:dyDescent="0.35">
      <c r="A585">
        <v>1310</v>
      </c>
      <c r="B585" t="s">
        <v>327</v>
      </c>
      <c r="C585" t="s">
        <v>13</v>
      </c>
      <c r="D585">
        <v>50</v>
      </c>
      <c r="E585" s="2">
        <v>42314</v>
      </c>
      <c r="F585">
        <v>37987</v>
      </c>
      <c r="G585">
        <f>F585*0.12</f>
        <v>4558.4399999999996</v>
      </c>
      <c r="H585">
        <v>2</v>
      </c>
      <c r="I585" t="str">
        <f>IF(H585&gt;=4,"yes","no")</f>
        <v>no</v>
      </c>
      <c r="J585" t="str">
        <f>IF(AND(D585&gt;30,H585&gt;=4),"yes","no")</f>
        <v>no</v>
      </c>
      <c r="K585" t="s">
        <v>14</v>
      </c>
      <c r="L585">
        <v>0</v>
      </c>
    </row>
    <row r="586" spans="1:12" hidden="1" x14ac:dyDescent="0.35">
      <c r="A586">
        <v>1392</v>
      </c>
      <c r="B586" t="s">
        <v>409</v>
      </c>
      <c r="C586" t="s">
        <v>13</v>
      </c>
      <c r="D586">
        <v>33</v>
      </c>
      <c r="E586" s="2">
        <v>42396</v>
      </c>
      <c r="F586">
        <v>37857</v>
      </c>
      <c r="G586">
        <f>F586*0.12</f>
        <v>4542.84</v>
      </c>
      <c r="H586">
        <v>2</v>
      </c>
      <c r="I586" t="str">
        <f>IF(H586&gt;=4,"yes","no")</f>
        <v>no</v>
      </c>
      <c r="J586" t="str">
        <f>IF(AND(D586&gt;30,H586&gt;=4),"yes","no")</f>
        <v>no</v>
      </c>
      <c r="K586" t="s">
        <v>23</v>
      </c>
      <c r="L586">
        <v>0</v>
      </c>
    </row>
    <row r="587" spans="1:12" hidden="1" x14ac:dyDescent="0.35">
      <c r="A587">
        <v>1575</v>
      </c>
      <c r="B587" t="s">
        <v>592</v>
      </c>
      <c r="C587" t="s">
        <v>13</v>
      </c>
      <c r="D587">
        <v>33</v>
      </c>
      <c r="E587" s="2">
        <v>42579</v>
      </c>
      <c r="F587">
        <v>37201</v>
      </c>
      <c r="G587">
        <f>F587*0.12</f>
        <v>4464.12</v>
      </c>
      <c r="H587">
        <v>1</v>
      </c>
      <c r="I587" t="str">
        <f>IF(H587&gt;=4,"yes","no")</f>
        <v>no</v>
      </c>
      <c r="J587" t="str">
        <f>IF(AND(D587&gt;30,H587&gt;=4),"yes","no")</f>
        <v>no</v>
      </c>
      <c r="K587" t="s">
        <v>19</v>
      </c>
      <c r="L587">
        <v>4</v>
      </c>
    </row>
    <row r="588" spans="1:12" hidden="1" x14ac:dyDescent="0.35">
      <c r="A588">
        <v>1075</v>
      </c>
      <c r="B588" t="s">
        <v>92</v>
      </c>
      <c r="C588" t="s">
        <v>13</v>
      </c>
      <c r="D588">
        <v>24</v>
      </c>
      <c r="E588" s="2">
        <v>42079</v>
      </c>
      <c r="F588">
        <v>37182</v>
      </c>
      <c r="G588">
        <f>F588*0.12</f>
        <v>4461.84</v>
      </c>
      <c r="H588">
        <v>1</v>
      </c>
      <c r="I588" t="str">
        <f>IF(H588&gt;=4,"yes","no")</f>
        <v>no</v>
      </c>
      <c r="J588" t="str">
        <f>IF(AND(D588&gt;30,H588&gt;=4),"yes","no")</f>
        <v>no</v>
      </c>
      <c r="K588" t="s">
        <v>17</v>
      </c>
      <c r="L588">
        <v>25</v>
      </c>
    </row>
    <row r="589" spans="1:12" hidden="1" x14ac:dyDescent="0.35">
      <c r="A589">
        <v>1263</v>
      </c>
      <c r="B589" t="s">
        <v>280</v>
      </c>
      <c r="C589" t="s">
        <v>13</v>
      </c>
      <c r="D589">
        <v>25</v>
      </c>
      <c r="E589" s="2">
        <v>42267</v>
      </c>
      <c r="F589">
        <v>36303</v>
      </c>
      <c r="G589">
        <f>F589*0.12</f>
        <v>4356.3599999999997</v>
      </c>
      <c r="H589">
        <v>4</v>
      </c>
      <c r="I589" t="str">
        <f>IF(H589&gt;=4,"yes","no")</f>
        <v>yes</v>
      </c>
      <c r="J589" t="str">
        <f>IF(AND(D589&gt;30,H589&gt;=4),"yes","no")</f>
        <v>no</v>
      </c>
      <c r="K589" t="s">
        <v>23</v>
      </c>
      <c r="L589">
        <v>6</v>
      </c>
    </row>
    <row r="590" spans="1:12" hidden="1" x14ac:dyDescent="0.35">
      <c r="A590">
        <v>1258</v>
      </c>
      <c r="B590" t="s">
        <v>275</v>
      </c>
      <c r="C590" t="s">
        <v>13</v>
      </c>
      <c r="D590">
        <v>29</v>
      </c>
      <c r="E590" s="2">
        <v>42262</v>
      </c>
      <c r="F590">
        <v>34516</v>
      </c>
      <c r="G590">
        <f>F590*0.12</f>
        <v>4141.92</v>
      </c>
      <c r="H590">
        <v>1</v>
      </c>
      <c r="I590" t="str">
        <f>IF(H590&gt;=4,"yes","no")</f>
        <v>no</v>
      </c>
      <c r="J590" t="str">
        <f>IF(AND(D590&gt;30,H590&gt;=4),"yes","no")</f>
        <v>no</v>
      </c>
      <c r="K590" t="s">
        <v>11</v>
      </c>
      <c r="L590">
        <v>24</v>
      </c>
    </row>
    <row r="591" spans="1:12" hidden="1" x14ac:dyDescent="0.35">
      <c r="A591">
        <v>1546</v>
      </c>
      <c r="B591" t="s">
        <v>563</v>
      </c>
      <c r="C591" t="s">
        <v>13</v>
      </c>
      <c r="D591">
        <v>31</v>
      </c>
      <c r="E591" s="2">
        <v>42550</v>
      </c>
      <c r="F591">
        <v>33946</v>
      </c>
      <c r="G591">
        <f>F591*0.12</f>
        <v>4073.52</v>
      </c>
      <c r="H591">
        <v>1</v>
      </c>
      <c r="I591" t="str">
        <f>IF(H591&gt;=4,"yes","no")</f>
        <v>no</v>
      </c>
      <c r="J591" t="str">
        <f>IF(AND(D591&gt;30,H591&gt;=4),"yes","no")</f>
        <v>no</v>
      </c>
      <c r="K591" t="s">
        <v>19</v>
      </c>
      <c r="L591">
        <v>14</v>
      </c>
    </row>
    <row r="592" spans="1:12" hidden="1" x14ac:dyDescent="0.35">
      <c r="A592">
        <v>1083</v>
      </c>
      <c r="B592" t="s">
        <v>100</v>
      </c>
      <c r="C592" t="s">
        <v>13</v>
      </c>
      <c r="D592">
        <v>42</v>
      </c>
      <c r="E592" s="2">
        <v>42087</v>
      </c>
      <c r="F592">
        <v>33820</v>
      </c>
      <c r="G592">
        <f>F592*0.12</f>
        <v>4058.3999999999996</v>
      </c>
      <c r="H592">
        <v>2</v>
      </c>
      <c r="I592" t="str">
        <f>IF(H592&gt;=4,"yes","no")</f>
        <v>no</v>
      </c>
      <c r="J592" t="str">
        <f>IF(AND(D592&gt;30,H592&gt;=4),"yes","no")</f>
        <v>no</v>
      </c>
      <c r="K592" t="s">
        <v>14</v>
      </c>
      <c r="L592">
        <v>24</v>
      </c>
    </row>
    <row r="593" spans="1:12" hidden="1" x14ac:dyDescent="0.35">
      <c r="A593">
        <v>1116</v>
      </c>
      <c r="B593" t="s">
        <v>133</v>
      </c>
      <c r="C593" t="s">
        <v>13</v>
      </c>
      <c r="D593">
        <v>51</v>
      </c>
      <c r="E593" s="2">
        <v>42120</v>
      </c>
      <c r="F593">
        <v>31640</v>
      </c>
      <c r="G593">
        <f>F593*0.12</f>
        <v>3796.7999999999997</v>
      </c>
      <c r="H593">
        <v>1</v>
      </c>
      <c r="I593" t="str">
        <f>IF(H593&gt;=4,"yes","no")</f>
        <v>no</v>
      </c>
      <c r="J593" t="str">
        <f>IF(AND(D593&gt;30,H593&gt;=4),"yes","no")</f>
        <v>no</v>
      </c>
      <c r="K593" t="s">
        <v>14</v>
      </c>
      <c r="L593">
        <v>3</v>
      </c>
    </row>
    <row r="594" spans="1:12" hidden="1" x14ac:dyDescent="0.35">
      <c r="A594">
        <v>1364</v>
      </c>
      <c r="B594" t="s">
        <v>381</v>
      </c>
      <c r="C594" t="s">
        <v>13</v>
      </c>
      <c r="D594">
        <v>59</v>
      </c>
      <c r="E594" s="2">
        <v>42368</v>
      </c>
      <c r="F594">
        <v>31540</v>
      </c>
      <c r="G594">
        <f>F594*0.12</f>
        <v>3784.7999999999997</v>
      </c>
      <c r="H594">
        <v>4</v>
      </c>
      <c r="I594" t="str">
        <f>IF(H594&gt;=4,"yes","no")</f>
        <v>yes</v>
      </c>
      <c r="J594" t="str">
        <f>IF(AND(D594&gt;30,H594&gt;=4),"yes","no")</f>
        <v>yes</v>
      </c>
      <c r="K594" t="s">
        <v>14</v>
      </c>
      <c r="L594">
        <v>29</v>
      </c>
    </row>
    <row r="595" spans="1:12" hidden="1" x14ac:dyDescent="0.35">
      <c r="A595">
        <v>1474</v>
      </c>
      <c r="B595" t="s">
        <v>491</v>
      </c>
      <c r="C595" t="s">
        <v>13</v>
      </c>
      <c r="D595">
        <v>59</v>
      </c>
      <c r="E595" s="2">
        <v>42478</v>
      </c>
      <c r="F595">
        <v>31368</v>
      </c>
      <c r="G595">
        <f>F595*0.12</f>
        <v>3764.16</v>
      </c>
      <c r="H595">
        <v>2</v>
      </c>
      <c r="I595" t="str">
        <f>IF(H595&gt;=4,"yes","no")</f>
        <v>no</v>
      </c>
      <c r="J595" t="str">
        <f>IF(AND(D595&gt;30,H595&gt;=4),"yes","no")</f>
        <v>no</v>
      </c>
      <c r="K595" t="s">
        <v>19</v>
      </c>
      <c r="L595">
        <v>16</v>
      </c>
    </row>
    <row r="596" spans="1:12" hidden="1" x14ac:dyDescent="0.35">
      <c r="A596">
        <v>1419</v>
      </c>
      <c r="B596" t="s">
        <v>436</v>
      </c>
      <c r="C596" t="s">
        <v>13</v>
      </c>
      <c r="D596">
        <v>36</v>
      </c>
      <c r="E596" s="2">
        <v>42423</v>
      </c>
      <c r="F596">
        <v>30655</v>
      </c>
      <c r="G596">
        <f>F596*0.12</f>
        <v>3678.6</v>
      </c>
      <c r="H596">
        <v>5</v>
      </c>
      <c r="I596" t="str">
        <f>IF(H596&gt;=4,"yes","no")</f>
        <v>yes</v>
      </c>
      <c r="J596" t="str">
        <f>IF(AND(D596&gt;30,H596&gt;=4),"yes","no")</f>
        <v>yes</v>
      </c>
      <c r="K596" t="s">
        <v>11</v>
      </c>
      <c r="L596">
        <v>27</v>
      </c>
    </row>
    <row r="597" spans="1:12" hidden="1" x14ac:dyDescent="0.35">
      <c r="A597">
        <v>1005</v>
      </c>
      <c r="B597" t="s">
        <v>20</v>
      </c>
      <c r="C597" t="s">
        <v>13</v>
      </c>
      <c r="D597">
        <v>40</v>
      </c>
      <c r="E597" s="2">
        <v>42009</v>
      </c>
      <c r="F597">
        <v>29853</v>
      </c>
      <c r="G597">
        <f>F597*0.12</f>
        <v>3582.3599999999997</v>
      </c>
      <c r="H597">
        <v>3</v>
      </c>
      <c r="I597" t="str">
        <f>IF(H597&gt;=4,"yes","no")</f>
        <v>no</v>
      </c>
      <c r="J597" t="str">
        <f>IF(AND(D597&gt;30,H597&gt;=4),"yes","no")</f>
        <v>no</v>
      </c>
      <c r="K597" t="s">
        <v>11</v>
      </c>
      <c r="L597">
        <v>22</v>
      </c>
    </row>
    <row r="598" spans="1:12" hidden="1" x14ac:dyDescent="0.35">
      <c r="A598">
        <v>1597</v>
      </c>
      <c r="B598" t="s">
        <v>614</v>
      </c>
      <c r="C598" t="s">
        <v>13</v>
      </c>
      <c r="D598">
        <v>32</v>
      </c>
      <c r="E598" s="2">
        <v>42601</v>
      </c>
      <c r="F598">
        <v>29648</v>
      </c>
      <c r="G598">
        <f>F598*0.12</f>
        <v>3557.7599999999998</v>
      </c>
      <c r="H598">
        <v>1</v>
      </c>
      <c r="I598" t="str">
        <f>IF(H598&gt;=4,"yes","no")</f>
        <v>no</v>
      </c>
      <c r="J598" t="str">
        <f>IF(AND(D598&gt;30,H598&gt;=4),"yes","no")</f>
        <v>no</v>
      </c>
      <c r="K598" t="s">
        <v>23</v>
      </c>
      <c r="L598">
        <v>6</v>
      </c>
    </row>
    <row r="599" spans="1:12" hidden="1" x14ac:dyDescent="0.35">
      <c r="A599">
        <v>1503</v>
      </c>
      <c r="B599" t="s">
        <v>520</v>
      </c>
      <c r="C599" t="s">
        <v>13</v>
      </c>
      <c r="D599">
        <v>56</v>
      </c>
      <c r="E599" s="2">
        <v>42507</v>
      </c>
      <c r="F599">
        <v>28389</v>
      </c>
      <c r="G599">
        <f>F599*0.12</f>
        <v>3406.68</v>
      </c>
      <c r="H599">
        <v>1</v>
      </c>
      <c r="I599" t="str">
        <f>IF(H599&gt;=4,"yes","no")</f>
        <v>no</v>
      </c>
      <c r="J599" t="str">
        <f>IF(AND(D599&gt;30,H599&gt;=4),"yes","no")</f>
        <v>no</v>
      </c>
      <c r="K599" t="s">
        <v>19</v>
      </c>
      <c r="L599">
        <v>22</v>
      </c>
    </row>
    <row r="600" spans="1:12" hidden="1" x14ac:dyDescent="0.35">
      <c r="A600">
        <v>1395</v>
      </c>
      <c r="B600" t="s">
        <v>412</v>
      </c>
      <c r="C600" t="s">
        <v>13</v>
      </c>
      <c r="D600">
        <v>39</v>
      </c>
      <c r="E600" s="2">
        <v>42399</v>
      </c>
      <c r="F600">
        <v>26980</v>
      </c>
      <c r="G600">
        <f>F600*0.12</f>
        <v>3237.6</v>
      </c>
      <c r="H600">
        <v>2</v>
      </c>
      <c r="I600" t="str">
        <f>IF(H600&gt;=4,"yes","no")</f>
        <v>no</v>
      </c>
      <c r="J600" t="str">
        <f>IF(AND(D600&gt;30,H600&gt;=4),"yes","no")</f>
        <v>no</v>
      </c>
      <c r="K600" t="s">
        <v>19</v>
      </c>
      <c r="L600">
        <v>12</v>
      </c>
    </row>
    <row r="601" spans="1:12" hidden="1" x14ac:dyDescent="0.35">
      <c r="A601">
        <v>1554</v>
      </c>
      <c r="B601" t="s">
        <v>571</v>
      </c>
      <c r="C601" t="s">
        <v>13</v>
      </c>
      <c r="D601">
        <v>23</v>
      </c>
      <c r="E601" s="2">
        <v>42558</v>
      </c>
      <c r="F601">
        <v>25956</v>
      </c>
      <c r="G601">
        <f>F601*0.12</f>
        <v>3114.72</v>
      </c>
      <c r="H601">
        <v>3</v>
      </c>
      <c r="I601" t="str">
        <f>IF(H601&gt;=4,"yes","no")</f>
        <v>no</v>
      </c>
      <c r="J601" t="str">
        <f>IF(AND(D601&gt;30,H601&gt;=4),"yes","no")</f>
        <v>no</v>
      </c>
      <c r="K601" t="s">
        <v>14</v>
      </c>
      <c r="L601">
        <v>11</v>
      </c>
    </row>
  </sheetData>
  <autoFilter ref="A1:L601" xr:uid="{00000000-0001-0000-0000-000000000000}">
    <filterColumn colId="5">
      <customFilters>
        <customFilter operator="greaterThanOrEqual" val="80000"/>
      </customFilters>
    </filterColumn>
  </autoFilter>
  <sortState xmlns:xlrd2="http://schemas.microsoft.com/office/spreadsheetml/2017/richdata2" ref="A2:L601">
    <sortCondition ref="C2:C601" customList="IT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C9" sqref="C9"/>
    </sheetView>
  </sheetViews>
  <sheetFormatPr defaultRowHeight="14.5" x14ac:dyDescent="0.35"/>
  <cols>
    <col min="1" max="1" width="89" bestFit="1" customWidth="1"/>
  </cols>
  <sheetData>
    <row r="1" spans="1:2" ht="18.5" x14ac:dyDescent="0.45">
      <c r="A1" s="3" t="s">
        <v>618</v>
      </c>
    </row>
    <row r="3" spans="1:2" x14ac:dyDescent="0.35">
      <c r="A3" t="s">
        <v>619</v>
      </c>
    </row>
    <row r="4" spans="1:2" x14ac:dyDescent="0.35">
      <c r="A4" t="s">
        <v>620</v>
      </c>
      <c r="B4" t="s">
        <v>640</v>
      </c>
    </row>
    <row r="5" spans="1:2" x14ac:dyDescent="0.35">
      <c r="A5" t="s">
        <v>621</v>
      </c>
      <c r="B5" t="s">
        <v>640</v>
      </c>
    </row>
    <row r="6" spans="1:2" x14ac:dyDescent="0.35">
      <c r="A6" t="s">
        <v>622</v>
      </c>
      <c r="B6" t="s">
        <v>640</v>
      </c>
    </row>
    <row r="8" spans="1:2" x14ac:dyDescent="0.35">
      <c r="A8" t="s">
        <v>623</v>
      </c>
    </row>
    <row r="9" spans="1:2" x14ac:dyDescent="0.35">
      <c r="A9" t="s">
        <v>624</v>
      </c>
      <c r="B9" t="s">
        <v>640</v>
      </c>
    </row>
    <row r="10" spans="1:2" x14ac:dyDescent="0.35">
      <c r="A10" t="s">
        <v>625</v>
      </c>
      <c r="B10" t="s">
        <v>640</v>
      </c>
    </row>
    <row r="11" spans="1:2" x14ac:dyDescent="0.35">
      <c r="A11" t="s">
        <v>626</v>
      </c>
      <c r="B11" t="s">
        <v>640</v>
      </c>
    </row>
    <row r="13" spans="1:2" x14ac:dyDescent="0.35">
      <c r="A13" t="s">
        <v>627</v>
      </c>
    </row>
    <row r="14" spans="1:2" x14ac:dyDescent="0.35">
      <c r="A14" t="s">
        <v>628</v>
      </c>
      <c r="B14" t="s">
        <v>640</v>
      </c>
    </row>
    <row r="15" spans="1:2" x14ac:dyDescent="0.35">
      <c r="A15" t="s">
        <v>629</v>
      </c>
      <c r="B15" t="s">
        <v>640</v>
      </c>
    </row>
    <row r="17" spans="1:2" x14ac:dyDescent="0.35">
      <c r="A17" t="s">
        <v>630</v>
      </c>
    </row>
    <row r="18" spans="1:2" x14ac:dyDescent="0.35">
      <c r="A18" t="s">
        <v>631</v>
      </c>
      <c r="B18" t="s">
        <v>640</v>
      </c>
    </row>
    <row r="19" spans="1:2" x14ac:dyDescent="0.35">
      <c r="A19" t="s">
        <v>632</v>
      </c>
      <c r="B19" t="s">
        <v>640</v>
      </c>
    </row>
    <row r="21" spans="1:2" x14ac:dyDescent="0.35">
      <c r="A21" t="s">
        <v>633</v>
      </c>
    </row>
    <row r="22" spans="1:2" x14ac:dyDescent="0.35">
      <c r="A22" t="s">
        <v>634</v>
      </c>
    </row>
    <row r="23" spans="1:2" x14ac:dyDescent="0.35">
      <c r="A23" t="s">
        <v>635</v>
      </c>
    </row>
    <row r="24" spans="1:2" x14ac:dyDescent="0.35">
      <c r="A24" t="s">
        <v>636</v>
      </c>
    </row>
    <row r="26" spans="1:2" x14ac:dyDescent="0.35">
      <c r="A26" t="s">
        <v>637</v>
      </c>
    </row>
    <row r="27" spans="1:2" x14ac:dyDescent="0.35">
      <c r="A27" t="s">
        <v>638</v>
      </c>
    </row>
    <row r="28" spans="1:2" x14ac:dyDescent="0.35">
      <c r="A28" t="s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Gadhiya</cp:lastModifiedBy>
  <dcterms:created xsi:type="dcterms:W3CDTF">2025-09-16T11:13:12Z</dcterms:created>
  <dcterms:modified xsi:type="dcterms:W3CDTF">2025-09-17T15:42:48Z</dcterms:modified>
</cp:coreProperties>
</file>